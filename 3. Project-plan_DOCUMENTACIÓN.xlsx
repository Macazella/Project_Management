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12"/>
  <workbookPr/>
  <mc:AlternateContent xmlns:mc="http://schemas.openxmlformats.org/markup-compatibility/2006">
    <mc:Choice Requires="x15">
      <x15ac:absPath xmlns:x15ac="http://schemas.microsoft.com/office/spreadsheetml/2010/11/ac" url="C:\Users\macazella\Downloads\Equipo Ágil\TEMPLATES\"/>
    </mc:Choice>
  </mc:AlternateContent>
  <xr:revisionPtr revIDLastSave="28" documentId="8_{3C8EFCBD-B292-411A-95BC-70C85D3A6383}" xr6:coauthVersionLast="47" xr6:coauthVersionMax="47" xr10:uidLastSave="{EE9D3758-B3FD-4476-9053-D11FDF1F4DC3}"/>
  <bookViews>
    <workbookView showHorizontalScroll="0" showVerticalScroll="0" showSheetTabs="0" xWindow="-120" yWindow="-120" windowWidth="20730" windowHeight="11160" xr2:uid="{00000000-000D-0000-FFFF-FFFF00000000}"/>
  </bookViews>
  <sheets>
    <sheet name="Dashboard" sheetId="1" r:id="rId1"/>
    <sheet name="Project Schedule" sheetId="2" r:id="rId2"/>
    <sheet name="Budget" sheetId="3" r:id="rId3"/>
    <sheet name="Communication Plan" sheetId="4" r:id="rId4"/>
  </sheets>
  <externalReferences>
    <externalReference r:id="rId5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1" i="3" l="1"/>
  <c r="I3" i="3" s="1"/>
  <c r="I19" i="3"/>
  <c r="H18" i="3"/>
  <c r="J18" i="3" s="1"/>
  <c r="H17" i="3"/>
  <c r="J17" i="3" s="1"/>
  <c r="H16" i="3"/>
  <c r="J16" i="3" s="1"/>
  <c r="I14" i="3"/>
  <c r="H13" i="3"/>
  <c r="H14" i="3" s="1"/>
  <c r="I11" i="3"/>
  <c r="H10" i="3"/>
  <c r="J10" i="3" s="1"/>
  <c r="H9" i="3"/>
  <c r="J9" i="3" s="1"/>
  <c r="H8" i="3"/>
  <c r="H11" i="3" s="1"/>
  <c r="J13" i="3" l="1"/>
  <c r="J8" i="3"/>
  <c r="H19" i="3"/>
  <c r="H21" i="3" s="1"/>
  <c r="H3" i="3" s="1"/>
  <c r="J3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7" authorId="0" shapeId="0" xr:uid="{00000000-0006-0000-0000-000001000000}">
      <text>
        <r>
          <rPr>
            <sz val="10"/>
            <color rgb="FF000000"/>
            <rFont val="Arial"/>
            <family val="2"/>
          </rPr>
          <t xml:space="preserve">Add hyperlink to digital document, Project charter
</t>
        </r>
      </text>
    </comment>
    <comment ref="A8" authorId="0" shapeId="0" xr:uid="{00000000-0006-0000-0000-000002000000}">
      <text>
        <r>
          <rPr>
            <sz val="10"/>
            <color rgb="FF000000"/>
            <rFont val="Arial"/>
            <family val="2"/>
          </rPr>
          <t xml:space="preserve">Add hyperlink to digital document, Statement of work
</t>
        </r>
      </text>
    </comment>
    <comment ref="A9" authorId="0" shapeId="0" xr:uid="{00000000-0006-0000-0000-000003000000}">
      <text>
        <r>
          <rPr>
            <sz val="10"/>
            <color rgb="FF000000"/>
            <rFont val="Arial"/>
            <family val="2"/>
          </rPr>
          <t xml:space="preserve">Add hyperlink to digital document, risk management plan
</t>
        </r>
      </text>
    </comment>
    <comment ref="A13" authorId="0" shapeId="0" xr:uid="{00000000-0006-0000-0000-000004000000}">
      <text>
        <r>
          <rPr>
            <sz val="10"/>
            <color rgb="FF000000"/>
            <rFont val="Arial"/>
            <family val="2"/>
          </rPr>
          <t xml:space="preserve">Add hyperlink to a shared folder 
</t>
        </r>
      </text>
    </comment>
    <comment ref="A14" authorId="0" shapeId="0" xr:uid="{00000000-0006-0000-0000-000005000000}">
      <text>
        <r>
          <rPr>
            <sz val="10"/>
            <color rgb="FF000000"/>
            <rFont val="Arial"/>
            <family val="2"/>
          </rPr>
          <t>Add hyperlink to RACI chart spreadsheet</t>
        </r>
      </text>
    </comment>
  </commentList>
</comments>
</file>

<file path=xl/sharedStrings.xml><?xml version="1.0" encoding="utf-8"?>
<sst xmlns="http://schemas.openxmlformats.org/spreadsheetml/2006/main" count="304" uniqueCount="198">
  <si>
    <t xml:space="preserve">Proyecto Facturación </t>
  </si>
  <si>
    <t>Descripción: Este es un resumen general de los recursos del documento para el plan de Facturación de Proveedores</t>
  </si>
  <si>
    <t>Owner: Nombre del Gerente de Proyecto</t>
  </si>
  <si>
    <t>Estado: Borrador</t>
  </si>
  <si>
    <t>DOCUMENTACIÓN CLAVE</t>
  </si>
  <si>
    <t>Descripción</t>
  </si>
  <si>
    <t>Acta de constitución del proyecto</t>
  </si>
  <si>
    <t>Una descripción general del proyecto, elementos clave y expectativas</t>
  </si>
  <si>
    <t>Estatuto del trabajo</t>
  </si>
  <si>
    <t>Identifica el trabajo que se incluye en el proyecto y el precio que se cotizó inicialmente.</t>
  </si>
  <si>
    <t>Plan de gestión de riesgos</t>
  </si>
  <si>
    <t>Se identifican los posibles riesgos del proyecto, su probabilidad de ocurrencia y las medidas de mitigación que se implementarán en caso de que se concreten.</t>
  </si>
  <si>
    <t>Calendario</t>
  </si>
  <si>
    <t>Identifica la planificación prevista, así como cualquier cambio a lo largo del ciclo de vida del proyecto.</t>
  </si>
  <si>
    <t>Presupuesto</t>
  </si>
  <si>
    <t>Esta frase se traduce como:
Identifica el presupuesto planificado, así como cualquier exceso o déficit. Permite estimar el costo al finalizar.</t>
  </si>
  <si>
    <t>Plan de comunicación</t>
  </si>
  <si>
    <t>Identifica con qué frecuencia, qué tipo de método de comunicación y qué información necesitan saber tus partes interesadas.</t>
  </si>
  <si>
    <t>Carpeta compartida</t>
  </si>
  <si>
    <t>Carpeta con toda la documentación relevante.</t>
  </si>
  <si>
    <t xml:space="preserve">Matriz RACI </t>
  </si>
  <si>
    <t>Identifica quién es responsable, quién rinde cuentas, quién es consultado y quién es informado dentro del proyecto.</t>
  </si>
  <si>
    <t>Gantt Chart</t>
  </si>
  <si>
    <r>
      <rPr>
        <b/>
        <sz val="10"/>
        <color rgb="FF34A853"/>
        <rFont val="Arial"/>
        <family val="2"/>
      </rPr>
      <t xml:space="preserve">TITLE: </t>
    </r>
    <r>
      <rPr>
        <b/>
        <sz val="11"/>
        <color rgb="FF999999"/>
        <rFont val="Arial"/>
        <family val="2"/>
      </rPr>
      <t>Plant Pals Operations and Training Plan</t>
    </r>
  </si>
  <si>
    <t>COMPANY NAME:</t>
  </si>
  <si>
    <t>Office Green</t>
  </si>
  <si>
    <r>
      <rPr>
        <b/>
        <sz val="10"/>
        <color rgb="FF34A853"/>
        <rFont val="Arial"/>
        <family val="2"/>
      </rPr>
      <t>PROJECT MANAGER:</t>
    </r>
    <r>
      <rPr>
        <b/>
        <sz val="10"/>
        <color rgb="FF999999"/>
        <rFont val="Arial"/>
        <family val="2"/>
      </rPr>
      <t xml:space="preserve"> Project Manager</t>
    </r>
  </si>
  <si>
    <t>CREATION DATE:</t>
  </si>
  <si>
    <t>02/15</t>
  </si>
  <si>
    <t>TASK ID NUMBER</t>
  </si>
  <si>
    <t>MILESTONES &amp; TASKS</t>
  </si>
  <si>
    <t>TASK OWNER</t>
  </si>
  <si>
    <t>START DATE</t>
  </si>
  <si>
    <t>DUE DATE</t>
  </si>
  <si>
    <t>DURATION</t>
  </si>
  <si>
    <t>PCT OF TASK COMPLETE</t>
  </si>
  <si>
    <t>PHASE ONE</t>
  </si>
  <si>
    <t>PHASE TWO</t>
  </si>
  <si>
    <t>PHASE THREE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</si>
  <si>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</si>
  <si>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</si>
  <si>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</si>
  <si>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</si>
  <si>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</si>
  <si>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</si>
  <si>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</si>
  <si>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</si>
  <si>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</si>
  <si>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</si>
  <si>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</si>
  <si>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</si>
  <si>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</si>
  <si>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</si>
  <si>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</si>
  <si>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MARCH</t>
  </si>
  <si>
    <t>APRIL</t>
  </si>
  <si>
    <t>MAY</t>
  </si>
  <si>
    <t>JUNE</t>
  </si>
  <si>
    <t>M</t>
  </si>
  <si>
    <t>T</t>
  </si>
  <si>
    <t>W</t>
  </si>
  <si>
    <t>R</t>
  </si>
  <si>
    <t>F</t>
  </si>
  <si>
    <t>Establish a plant delivery and logistics plan</t>
  </si>
  <si>
    <t>Source packaging materials</t>
  </si>
  <si>
    <t>Fulfillment Director</t>
  </si>
  <si>
    <t>3/1</t>
  </si>
  <si>
    <t>3/12</t>
  </si>
  <si>
    <t>Hire delivery drivers</t>
  </si>
  <si>
    <t>HR Specialist</t>
  </si>
  <si>
    <t>3/15</t>
  </si>
  <si>
    <t>3/26</t>
  </si>
  <si>
    <t>Calculate delivery fees</t>
  </si>
  <si>
    <t>Financial Analyst</t>
  </si>
  <si>
    <t>3/29</t>
  </si>
  <si>
    <t>4/9</t>
  </si>
  <si>
    <t>Select and install supply chain software and equipment</t>
  </si>
  <si>
    <t>Supervise vendor setup of inventory management and fulfillment software</t>
  </si>
  <si>
    <t>Inventory manager</t>
  </si>
  <si>
    <t>4/12</t>
  </si>
  <si>
    <t>4/14</t>
  </si>
  <si>
    <t>Supervise vendor installation of fulfillment equipment</t>
  </si>
  <si>
    <t>4/15</t>
  </si>
  <si>
    <t>4/16</t>
  </si>
  <si>
    <t>Determine internal safety protocols for equipment</t>
  </si>
  <si>
    <t>Quality Assurance Tester</t>
  </si>
  <si>
    <t>4/19</t>
  </si>
  <si>
    <t>4/30</t>
  </si>
  <si>
    <t>Develop and launch an employee training program</t>
  </si>
  <si>
    <t>Develop training sessions</t>
  </si>
  <si>
    <t>5/3</t>
  </si>
  <si>
    <t>5/14</t>
  </si>
  <si>
    <t>Train employees to use the software and equipment</t>
  </si>
  <si>
    <t>Training Manager</t>
  </si>
  <si>
    <t>5/17</t>
  </si>
  <si>
    <t>5/28</t>
  </si>
  <si>
    <t>Monitor employee progress and improve training processes</t>
  </si>
  <si>
    <t>5/31</t>
  </si>
  <si>
    <t>6/11</t>
  </si>
  <si>
    <t>Budget: Project Plant Pals Operations &amp; Training</t>
  </si>
  <si>
    <t>TARGET BUDGET</t>
  </si>
  <si>
    <t>ACTUAL/FINAL SPEND</t>
  </si>
  <si>
    <t>UNDER/
OVER</t>
  </si>
  <si>
    <t>LABOR</t>
  </si>
  <si>
    <t>MATERIALS</t>
  </si>
  <si>
    <t>FIXED COST</t>
  </si>
  <si>
    <t>BUDGET</t>
  </si>
  <si>
    <t>ACTUAL</t>
  </si>
  <si>
    <t>UNDER/OVER</t>
  </si>
  <si>
    <t>EMPLOYEE</t>
  </si>
  <si>
    <t>HOURS</t>
  </si>
  <si>
    <t>RATE</t>
  </si>
  <si>
    <t>UNITS</t>
  </si>
  <si>
    <t>$/UNIT(S)</t>
  </si>
  <si>
    <t>Milestone 1: Establish a plant delivery and logistics plan</t>
  </si>
  <si>
    <t>Task 1: Purchase delivery trucks</t>
  </si>
  <si>
    <t>--</t>
  </si>
  <si>
    <t>Task 2: Source packaging materials</t>
  </si>
  <si>
    <t>Task 3: Pay delivery drivers</t>
  </si>
  <si>
    <t>Delivery Drivers (2)</t>
  </si>
  <si>
    <t>Total</t>
  </si>
  <si>
    <t>Milestone 2: Select and install supply chain management software and equipment</t>
  </si>
  <si>
    <t>Task 1: Source vendor (includes set up, installation, and deployment of systems)</t>
  </si>
  <si>
    <t>Milestone 3: Develop and launch an employee training program</t>
  </si>
  <si>
    <t>Task 1: Develop training sessions</t>
  </si>
  <si>
    <t>Task 2: Train employees to use the software and equipment</t>
  </si>
  <si>
    <t>Task 3: Monitor employee progress and improve training processes</t>
  </si>
  <si>
    <t>Reserve buffer</t>
  </si>
  <si>
    <t>TOTAL</t>
  </si>
  <si>
    <t>Project Plant Pals: 
Employee Training Communication Plan</t>
  </si>
  <si>
    <t>Recipients</t>
  </si>
  <si>
    <t>Type of Communication</t>
  </si>
  <si>
    <t>Frequency</t>
  </si>
  <si>
    <t>Sender/Owner</t>
  </si>
  <si>
    <t>Key Dates</t>
  </si>
  <si>
    <t>Delivery Method</t>
  </si>
  <si>
    <t>Goal</t>
  </si>
  <si>
    <t>Resource Links</t>
  </si>
  <si>
    <t>Notes</t>
  </si>
  <si>
    <t>Core Team</t>
  </si>
  <si>
    <t>Planning Meeting</t>
  </si>
  <si>
    <t>Daily</t>
  </si>
  <si>
    <t>Project Manager</t>
  </si>
  <si>
    <t>Every day at 3pm</t>
  </si>
  <si>
    <t>In Person</t>
  </si>
  <si>
    <t>Project planning and task updates to make sure the team stays on track</t>
  </si>
  <si>
    <t>[link to meeting agenda and notes]</t>
  </si>
  <si>
    <t>If needed, check in with manager about any high-level questions before meetings.</t>
  </si>
  <si>
    <t>Software and Equipment Vendor</t>
  </si>
  <si>
    <t>One time</t>
  </si>
  <si>
    <t>Core Team: HR Specialist &amp; Training Manager</t>
  </si>
  <si>
    <t>Half day, Friday before development of the training plan begins; confirm date and time three days in advance</t>
  </si>
  <si>
    <t>Go over the training manual in order to create an effective training plan for Office Green's employees</t>
  </si>
  <si>
    <t>[link to vendor SoW]</t>
  </si>
  <si>
    <t>This meeting needs to take place before the end of the vendor's SoW. Make sure the HR Specialist &amp; Training Manager check in with fulfillment and inventory team members about the outcome of the meeting.</t>
  </si>
  <si>
    <t>Human Resources</t>
  </si>
  <si>
    <t>Planning Check-In</t>
  </si>
  <si>
    <t>Weekly</t>
  </si>
  <si>
    <t>Core Team: HR Specialist</t>
  </si>
  <si>
    <t>Also send reminders (via email) the day before each training</t>
  </si>
  <si>
    <t>Project planning assistance; provide support during the training session</t>
  </si>
  <si>
    <t>Additional communication on an as-needed basis</t>
  </si>
  <si>
    <t>Facilities</t>
  </si>
  <si>
    <t>Core Team: Administrative Coordinator</t>
  </si>
  <si>
    <t>Tuesdays at 2pm</t>
  </si>
  <si>
    <t>Phone Call</t>
  </si>
  <si>
    <t>Reserve rooms, spaces, and equipment needed for employee training</t>
  </si>
  <si>
    <t>[link to room and equipment reservation form]</t>
  </si>
  <si>
    <t>Print Shop</t>
  </si>
  <si>
    <t>Thursdays, including the day before the event</t>
  </si>
  <si>
    <t>Coordinate on the printing and delivery of training manuals for employees</t>
  </si>
  <si>
    <t>[link to printing order form]</t>
  </si>
  <si>
    <t>Office Green employees</t>
  </si>
  <si>
    <t>Informational Update</t>
  </si>
  <si>
    <t>Core Team: Training Manager</t>
  </si>
  <si>
    <t>Fridays, including the Friday before training sessions begin</t>
  </si>
  <si>
    <t>Email (from company address)</t>
  </si>
  <si>
    <t>Communicate schedules, locations, and other necessary details to trainees</t>
  </si>
  <si>
    <t>[trainee email list]</t>
  </si>
  <si>
    <t>Set up automated reminder emails</t>
  </si>
  <si>
    <t>Training</t>
  </si>
  <si>
    <t>Each day for ten days, starting at 10am</t>
  </si>
  <si>
    <t>Train employees to use the supply chain management software and equipment</t>
  </si>
  <si>
    <t>[link to training schedule]</t>
  </si>
  <si>
    <t>Survey</t>
  </si>
  <si>
    <t>The first business day after trainings end, with two follow-up reminders</t>
  </si>
  <si>
    <t>Post-training survey</t>
  </si>
  <si>
    <t>Discuss results at next team meeting</t>
  </si>
  <si>
    <t>Your Manager</t>
  </si>
  <si>
    <t>Status Update</t>
  </si>
  <si>
    <t>Monday afternoons at 2pm</t>
  </si>
  <si>
    <t>Update on event planning, ask questions, and get feedback</t>
  </si>
  <si>
    <t>Come prepared with a brief update and specific questions</t>
  </si>
  <si>
    <t>Senior Leaders: Director of Operations and the Director of Product (and CC your manager)</t>
  </si>
  <si>
    <t xml:space="preserve">Debrief the week after the event </t>
  </si>
  <si>
    <t>Email (from individual address)</t>
  </si>
  <si>
    <t>High-level information and general updates</t>
  </si>
  <si>
    <t>[link to folder with training notes and survey results]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</si>
</sst>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&quot;$&quot;#,##0.00"/>
  </numFmts>
  <fonts count="48">
    <font>
      <sz val="10"/>
      <color rgb="FF000000"/>
      <name val="Arial"/>
    </font>
    <font>
      <b/>
      <sz val="11"/>
      <color rgb="FF000000"/>
      <name val="Arial"/>
      <family val="2"/>
    </font>
    <font>
      <sz val="10"/>
      <name val="Arial"/>
      <family val="2"/>
    </font>
    <font>
      <b/>
      <sz val="11"/>
      <color theme="1"/>
      <name val="Arial"/>
      <family val="2"/>
    </font>
    <font>
      <b/>
      <sz val="12"/>
      <color rgb="FFFFFFFF"/>
      <name val="Roboto"/>
    </font>
    <font>
      <b/>
      <sz val="12"/>
      <color rgb="FFFFFFFF"/>
      <name val="Arial"/>
      <family val="2"/>
    </font>
    <font>
      <u/>
      <sz val="11"/>
      <color rgb="FF1155CC"/>
      <name val="Arial"/>
      <family val="2"/>
    </font>
    <font>
      <sz val="11"/>
      <color rgb="FF000000"/>
      <name val="Roboto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Roboto"/>
    </font>
    <font>
      <b/>
      <sz val="30"/>
      <color rgb="FF0B5394"/>
      <name val="Arial"/>
      <family val="2"/>
    </font>
    <font>
      <b/>
      <sz val="11"/>
      <color rgb="FF0B5394"/>
      <name val="Arial"/>
      <family val="2"/>
    </font>
    <font>
      <sz val="11"/>
      <color rgb="FF000000"/>
      <name val="Arial"/>
      <family val="2"/>
    </font>
    <font>
      <b/>
      <sz val="30"/>
      <color rgb="FF34A853"/>
      <name val="Arial"/>
      <family val="2"/>
    </font>
    <font>
      <b/>
      <sz val="29"/>
      <color rgb="FF34A853"/>
      <name val="Arial"/>
      <family val="2"/>
    </font>
    <font>
      <sz val="12"/>
      <color theme="1"/>
      <name val="Arial"/>
      <family val="2"/>
    </font>
    <font>
      <b/>
      <sz val="30"/>
      <color rgb="FF38761D"/>
      <name val="Arial"/>
      <family val="2"/>
    </font>
    <font>
      <sz val="12"/>
      <color theme="1"/>
      <name val="Corbel"/>
      <family val="2"/>
    </font>
    <font>
      <b/>
      <sz val="10"/>
      <color rgb="FF34A853"/>
      <name val="Arial"/>
      <family val="2"/>
    </font>
    <font>
      <sz val="11"/>
      <color rgb="FF999999"/>
      <name val="Arial"/>
      <family val="2"/>
    </font>
    <font>
      <sz val="11"/>
      <color theme="1"/>
      <name val="Poppins"/>
    </font>
    <font>
      <b/>
      <sz val="8"/>
      <color theme="1"/>
      <name val="Roboto"/>
    </font>
    <font>
      <b/>
      <sz val="8"/>
      <color rgb="FF000000"/>
      <name val="Arial"/>
      <family val="2"/>
    </font>
    <font>
      <b/>
      <sz val="9"/>
      <color rgb="FF073763"/>
      <name val="Arial"/>
      <family val="2"/>
    </font>
    <font>
      <b/>
      <sz val="9"/>
      <color rgb="FFFFFFFF"/>
      <name val="Arial"/>
      <family val="2"/>
    </font>
    <font>
      <sz val="9"/>
      <color theme="1"/>
      <name val="Roboto"/>
    </font>
    <font>
      <b/>
      <sz val="9"/>
      <color rgb="FF999999"/>
      <name val="Arial"/>
      <family val="2"/>
    </font>
    <font>
      <b/>
      <sz val="9"/>
      <color rgb="FF274E13"/>
      <name val="Arial"/>
      <family val="2"/>
    </font>
    <font>
      <b/>
      <sz val="12"/>
      <color rgb="FF000000"/>
      <name val="Arial"/>
      <family val="2"/>
    </font>
    <font>
      <sz val="10"/>
      <color theme="1"/>
      <name val="Roboto"/>
    </font>
    <font>
      <sz val="10"/>
      <color rgb="FF434343"/>
      <name val="Arial"/>
      <family val="2"/>
    </font>
    <font>
      <b/>
      <sz val="21"/>
      <color rgb="FF1F497D"/>
      <name val="Arial"/>
      <family val="2"/>
    </font>
    <font>
      <sz val="14"/>
      <color rgb="FFFFFFFF"/>
      <name val="Arial"/>
      <family val="2"/>
    </font>
    <font>
      <sz val="11"/>
      <color theme="0"/>
      <name val="Arial"/>
      <family val="2"/>
    </font>
    <font>
      <sz val="11"/>
      <color rgb="FFFFFFFF"/>
      <name val="Arial"/>
      <family val="2"/>
    </font>
    <font>
      <b/>
      <sz val="14"/>
      <color theme="0"/>
      <name val="Arial"/>
      <family val="2"/>
    </font>
    <font>
      <sz val="14"/>
      <color theme="0"/>
      <name val="Arial"/>
      <family val="2"/>
    </font>
    <font>
      <b/>
      <sz val="12"/>
      <color rgb="FF34A853"/>
      <name val="Arial"/>
      <family val="2"/>
    </font>
    <font>
      <b/>
      <sz val="20"/>
      <color rgb="FF38761D"/>
      <name val="Arial"/>
      <family val="2"/>
    </font>
    <font>
      <b/>
      <sz val="12"/>
      <color rgb="FF38761D"/>
      <name val="Arial"/>
      <family val="2"/>
    </font>
    <font>
      <b/>
      <sz val="10"/>
      <color rgb="FF274E13"/>
      <name val="Arial"/>
      <family val="2"/>
    </font>
    <font>
      <sz val="10"/>
      <color rgb="FF0000FF"/>
      <name val="Arial"/>
      <family val="2"/>
    </font>
    <font>
      <sz val="12"/>
      <color rgb="FF000000"/>
      <name val="Arial"/>
      <family val="2"/>
    </font>
    <font>
      <b/>
      <sz val="11"/>
      <color rgb="FF999999"/>
      <name val="Arial"/>
      <family val="2"/>
    </font>
    <font>
      <b/>
      <sz val="10"/>
      <color rgb="FF999999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Arial"/>
    </font>
  </fonts>
  <fills count="20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6FA8DC"/>
        <bgColor rgb="FF6FA8DC"/>
      </patternFill>
    </fill>
    <fill>
      <patternFill patternType="solid">
        <fgColor rgb="FF0B5394"/>
        <bgColor rgb="FF0B5394"/>
      </patternFill>
    </fill>
    <fill>
      <patternFill patternType="solid">
        <fgColor rgb="FF999999"/>
        <bgColor rgb="FF999999"/>
      </patternFill>
    </fill>
    <fill>
      <patternFill patternType="solid">
        <fgColor rgb="FFCCCCCC"/>
        <bgColor rgb="FFCCCCCC"/>
      </patternFill>
    </fill>
    <fill>
      <patternFill patternType="solid">
        <fgColor rgb="FF73C79E"/>
        <bgColor rgb="FF73C79E"/>
      </patternFill>
    </fill>
    <fill>
      <patternFill patternType="solid">
        <fgColor theme="0"/>
        <bgColor theme="0"/>
      </patternFill>
    </fill>
    <fill>
      <patternFill patternType="solid">
        <fgColor rgb="FF38761D"/>
        <bgColor rgb="FF38761D"/>
      </patternFill>
    </fill>
    <fill>
      <patternFill patternType="solid">
        <fgColor rgb="FFEEECE1"/>
        <bgColor rgb="FFEEECE1"/>
      </patternFill>
    </fill>
    <fill>
      <patternFill patternType="solid">
        <fgColor rgb="FF1F497D"/>
        <bgColor rgb="FF1F497D"/>
      </patternFill>
    </fill>
    <fill>
      <patternFill patternType="solid">
        <fgColor rgb="FFDBE5F1"/>
        <bgColor rgb="FFDBE5F1"/>
      </patternFill>
    </fill>
    <fill>
      <patternFill patternType="solid">
        <fgColor rgb="FFA4C2F4"/>
        <bgColor rgb="FFA4C2F4"/>
      </patternFill>
    </fill>
    <fill>
      <patternFill patternType="solid">
        <fgColor rgb="FFB7E1CD"/>
        <bgColor rgb="FFB7E1CD"/>
      </patternFill>
    </fill>
    <fill>
      <patternFill patternType="solid">
        <fgColor rgb="FFC00000"/>
        <bgColor indexed="64"/>
      </patternFill>
    </fill>
  </fills>
  <borders count="2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274E13"/>
      </bottom>
      <diagonal/>
    </border>
    <border>
      <left/>
      <right/>
      <top/>
      <bottom style="thin">
        <color rgb="FFCCCCCC"/>
      </bottom>
      <diagonal/>
    </border>
    <border>
      <left/>
      <right/>
      <top/>
      <bottom style="thin">
        <color rgb="FFB7B7B7"/>
      </bottom>
      <diagonal/>
    </border>
    <border>
      <left/>
      <right style="hair">
        <color rgb="FFB7B7B7"/>
      </right>
      <top/>
      <bottom style="hair">
        <color rgb="FFB7B7B7"/>
      </bottom>
      <diagonal/>
    </border>
    <border>
      <left style="hair">
        <color rgb="FFB7B7B7"/>
      </left>
      <right style="hair">
        <color rgb="FFB7B7B7"/>
      </right>
      <top/>
      <bottom style="hair">
        <color rgb="FFB7B7B7"/>
      </bottom>
      <diagonal/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hair">
        <color rgb="FFFFFFFF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hair">
        <color rgb="FF969696"/>
      </left>
      <right style="hair">
        <color rgb="FF969696"/>
      </right>
      <top style="hair">
        <color rgb="FF969696"/>
      </top>
      <bottom style="hair">
        <color rgb="FF969696"/>
      </bottom>
      <diagonal/>
    </border>
    <border>
      <left style="hair">
        <color rgb="FF969696"/>
      </left>
      <right/>
      <top style="hair">
        <color rgb="FF969696"/>
      </top>
      <bottom style="hair">
        <color rgb="FF969696"/>
      </bottom>
      <diagonal/>
    </border>
    <border>
      <left style="thin">
        <color rgb="FF000000"/>
      </left>
      <right style="thin">
        <color rgb="FF000000"/>
      </right>
      <top style="hair">
        <color rgb="FF969696"/>
      </top>
      <bottom style="hair">
        <color rgb="FF969696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hair">
        <color rgb="FF969696"/>
      </right>
      <top style="hair">
        <color rgb="FF969696"/>
      </top>
      <bottom style="hair">
        <color rgb="FF969696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8">
    <xf numFmtId="0" fontId="0" fillId="0" borderId="0" xfId="0"/>
    <xf numFmtId="0" fontId="4" fillId="0" borderId="0" xfId="0" applyFont="1" applyAlignment="1">
      <alignment wrapText="1"/>
    </xf>
    <xf numFmtId="0" fontId="6" fillId="3" borderId="4" xfId="0" applyFont="1" applyFill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0" fontId="11" fillId="4" borderId="0" xfId="0" applyFont="1" applyFill="1" applyAlignment="1">
      <alignment vertical="center"/>
    </xf>
    <xf numFmtId="0" fontId="12" fillId="4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0" fontId="12" fillId="4" borderId="0" xfId="0" applyFont="1" applyFill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0" fontId="13" fillId="4" borderId="0" xfId="0" applyFont="1" applyFill="1" applyAlignment="1">
      <alignment vertical="center"/>
    </xf>
    <xf numFmtId="0" fontId="13" fillId="0" borderId="0" xfId="0" applyFont="1" applyAlignment="1">
      <alignment horizontal="left" vertical="center"/>
    </xf>
    <xf numFmtId="0" fontId="8" fillId="0" borderId="0" xfId="0" applyFont="1"/>
    <xf numFmtId="0" fontId="14" fillId="4" borderId="0" xfId="0" applyFont="1" applyFill="1" applyAlignment="1">
      <alignment vertical="center"/>
    </xf>
    <xf numFmtId="0" fontId="15" fillId="4" borderId="0" xfId="0" applyFont="1" applyFill="1" applyAlignment="1">
      <alignment horizontal="left"/>
    </xf>
    <xf numFmtId="0" fontId="16" fillId="5" borderId="0" xfId="0" applyFont="1" applyFill="1"/>
    <xf numFmtId="0" fontId="13" fillId="5" borderId="0" xfId="0" applyFont="1" applyFill="1" applyAlignment="1">
      <alignment vertical="center"/>
    </xf>
    <xf numFmtId="0" fontId="18" fillId="5" borderId="0" xfId="0" applyFont="1" applyFill="1"/>
    <xf numFmtId="0" fontId="16" fillId="0" borderId="0" xfId="0" applyFont="1"/>
    <xf numFmtId="0" fontId="14" fillId="4" borderId="0" xfId="0" applyFont="1" applyFill="1"/>
    <xf numFmtId="0" fontId="13" fillId="0" borderId="0" xfId="0" applyFont="1" applyAlignment="1">
      <alignment vertical="center"/>
    </xf>
    <xf numFmtId="0" fontId="18" fillId="0" borderId="0" xfId="0" applyFont="1"/>
    <xf numFmtId="0" fontId="8" fillId="4" borderId="0" xfId="0" applyFont="1" applyFill="1"/>
    <xf numFmtId="0" fontId="21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3" fontId="28" fillId="10" borderId="0" xfId="0" applyNumberFormat="1" applyFont="1" applyFill="1"/>
    <xf numFmtId="3" fontId="8" fillId="10" borderId="0" xfId="0" applyNumberFormat="1" applyFont="1" applyFill="1"/>
    <xf numFmtId="3" fontId="8" fillId="10" borderId="5" xfId="0" applyNumberFormat="1" applyFont="1" applyFill="1" applyBorder="1"/>
    <xf numFmtId="0" fontId="24" fillId="6" borderId="6" xfId="0" applyFont="1" applyFill="1" applyBorder="1" applyAlignment="1">
      <alignment horizontal="center"/>
    </xf>
    <xf numFmtId="0" fontId="24" fillId="7" borderId="6" xfId="0" applyFont="1" applyFill="1" applyBorder="1" applyAlignment="1">
      <alignment horizontal="center"/>
    </xf>
    <xf numFmtId="0" fontId="25" fillId="8" borderId="6" xfId="0" applyFont="1" applyFill="1" applyBorder="1" applyAlignment="1">
      <alignment horizontal="center"/>
    </xf>
    <xf numFmtId="0" fontId="1" fillId="10" borderId="7" xfId="0" applyFont="1" applyFill="1" applyBorder="1" applyAlignment="1">
      <alignment horizontal="left" vertical="center" wrapText="1"/>
    </xf>
    <xf numFmtId="0" fontId="29" fillId="10" borderId="0" xfId="0" applyFont="1" applyFill="1" applyAlignment="1">
      <alignment vertical="center"/>
    </xf>
    <xf numFmtId="0" fontId="1" fillId="10" borderId="7" xfId="0" applyFont="1" applyFill="1" applyBorder="1" applyAlignment="1">
      <alignment vertical="center" wrapText="1"/>
    </xf>
    <xf numFmtId="0" fontId="24" fillId="7" borderId="0" xfId="0" applyFont="1" applyFill="1" applyAlignment="1">
      <alignment horizontal="center"/>
    </xf>
    <xf numFmtId="0" fontId="25" fillId="8" borderId="0" xfId="0" applyFont="1" applyFill="1" applyAlignment="1">
      <alignment horizontal="center"/>
    </xf>
    <xf numFmtId="0" fontId="30" fillId="0" borderId="0" xfId="0" applyFont="1" applyAlignment="1">
      <alignment vertical="center"/>
    </xf>
    <xf numFmtId="0" fontId="31" fillId="0" borderId="8" xfId="0" applyFont="1" applyBorder="1" applyAlignment="1">
      <alignment horizontal="left" vertical="center" wrapText="1"/>
    </xf>
    <xf numFmtId="0" fontId="31" fillId="0" borderId="8" xfId="0" applyFont="1" applyBorder="1" applyAlignment="1">
      <alignment vertical="center" wrapText="1"/>
    </xf>
    <xf numFmtId="0" fontId="31" fillId="0" borderId="8" xfId="0" applyFont="1" applyBorder="1" applyAlignment="1">
      <alignment horizontal="center" vertical="center" wrapText="1"/>
    </xf>
    <xf numFmtId="49" fontId="31" fillId="0" borderId="8" xfId="0" applyNumberFormat="1" applyFont="1" applyBorder="1" applyAlignment="1">
      <alignment horizontal="center" vertical="center" wrapText="1"/>
    </xf>
    <xf numFmtId="9" fontId="31" fillId="0" borderId="8" xfId="0" applyNumberFormat="1" applyFont="1" applyBorder="1" applyAlignment="1">
      <alignment horizontal="center" vertical="center" wrapText="1"/>
    </xf>
    <xf numFmtId="0" fontId="8" fillId="6" borderId="9" xfId="0" applyFont="1" applyFill="1" applyBorder="1"/>
    <xf numFmtId="0" fontId="8" fillId="0" borderId="9" xfId="0" applyFont="1" applyBorder="1"/>
    <xf numFmtId="0" fontId="8" fillId="0" borderId="10" xfId="0" applyFont="1" applyBorder="1"/>
    <xf numFmtId="0" fontId="8" fillId="0" borderId="11" xfId="0" applyFont="1" applyBorder="1"/>
    <xf numFmtId="0" fontId="8" fillId="6" borderId="11" xfId="0" applyFont="1" applyFill="1" applyBorder="1"/>
    <xf numFmtId="0" fontId="1" fillId="10" borderId="7" xfId="0" applyFont="1" applyFill="1" applyBorder="1" applyAlignment="1">
      <alignment horizontal="center" vertical="center" wrapText="1"/>
    </xf>
    <xf numFmtId="49" fontId="1" fillId="10" borderId="7" xfId="0" applyNumberFormat="1" applyFont="1" applyFill="1" applyBorder="1" applyAlignment="1">
      <alignment horizontal="center" vertical="center" wrapText="1"/>
    </xf>
    <xf numFmtId="0" fontId="8" fillId="10" borderId="0" xfId="0" applyFont="1" applyFill="1"/>
    <xf numFmtId="165" fontId="8" fillId="10" borderId="0" xfId="0" applyNumberFormat="1" applyFont="1" applyFill="1"/>
    <xf numFmtId="9" fontId="8" fillId="0" borderId="10" xfId="0" applyNumberFormat="1" applyFont="1" applyBorder="1"/>
    <xf numFmtId="165" fontId="8" fillId="0" borderId="10" xfId="0" applyNumberFormat="1" applyFont="1" applyBorder="1"/>
    <xf numFmtId="0" fontId="8" fillId="7" borderId="10" xfId="0" applyFont="1" applyFill="1" applyBorder="1"/>
    <xf numFmtId="9" fontId="31" fillId="11" borderId="8" xfId="0" applyNumberFormat="1" applyFont="1" applyFill="1" applyBorder="1" applyAlignment="1">
      <alignment horizontal="center" vertical="center" wrapText="1"/>
    </xf>
    <xf numFmtId="9" fontId="8" fillId="0" borderId="11" xfId="0" applyNumberFormat="1" applyFont="1" applyBorder="1"/>
    <xf numFmtId="165" fontId="8" fillId="0" borderId="11" xfId="0" applyNumberFormat="1" applyFont="1" applyBorder="1"/>
    <xf numFmtId="0" fontId="8" fillId="7" borderId="11" xfId="0" applyFont="1" applyFill="1" applyBorder="1"/>
    <xf numFmtId="0" fontId="31" fillId="0" borderId="8" xfId="0" applyFont="1" applyBorder="1"/>
    <xf numFmtId="0" fontId="8" fillId="8" borderId="10" xfId="0" applyFont="1" applyFill="1" applyBorder="1"/>
    <xf numFmtId="0" fontId="31" fillId="0" borderId="13" xfId="0" applyFont="1" applyBorder="1"/>
    <xf numFmtId="0" fontId="8" fillId="8" borderId="11" xfId="0" applyFont="1" applyFill="1" applyBorder="1"/>
    <xf numFmtId="0" fontId="31" fillId="0" borderId="12" xfId="0" applyFont="1" applyBorder="1"/>
    <xf numFmtId="0" fontId="8" fillId="0" borderId="15" xfId="0" applyFont="1" applyBorder="1"/>
    <xf numFmtId="164" fontId="16" fillId="14" borderId="16" xfId="0" applyNumberFormat="1" applyFont="1" applyFill="1" applyBorder="1" applyAlignment="1">
      <alignment horizontal="center"/>
    </xf>
    <xf numFmtId="164" fontId="16" fillId="2" borderId="16" xfId="0" applyNumberFormat="1" applyFont="1" applyFill="1" applyBorder="1" applyAlignment="1">
      <alignment horizontal="center"/>
    </xf>
    <xf numFmtId="164" fontId="16" fillId="4" borderId="16" xfId="0" applyNumberFormat="1" applyFont="1" applyFill="1" applyBorder="1"/>
    <xf numFmtId="0" fontId="9" fillId="0" borderId="4" xfId="0" applyFont="1" applyBorder="1"/>
    <xf numFmtId="0" fontId="9" fillId="0" borderId="0" xfId="0" applyFont="1"/>
    <xf numFmtId="0" fontId="34" fillId="15" borderId="17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64" fontId="9" fillId="4" borderId="18" xfId="0" applyNumberFormat="1" applyFont="1" applyFill="1" applyBorder="1"/>
    <xf numFmtId="0" fontId="9" fillId="4" borderId="18" xfId="0" applyFont="1" applyFill="1" applyBorder="1"/>
    <xf numFmtId="164" fontId="9" fillId="4" borderId="19" xfId="0" applyNumberFormat="1" applyFont="1" applyFill="1" applyBorder="1"/>
    <xf numFmtId="164" fontId="9" fillId="12" borderId="20" xfId="0" applyNumberFormat="1" applyFont="1" applyFill="1" applyBorder="1" applyAlignment="1">
      <alignment horizontal="center"/>
    </xf>
    <xf numFmtId="164" fontId="13" fillId="4" borderId="5" xfId="0" applyNumberFormat="1" applyFont="1" applyFill="1" applyBorder="1"/>
    <xf numFmtId="164" fontId="3" fillId="17" borderId="21" xfId="0" applyNumberFormat="1" applyFont="1" applyFill="1" applyBorder="1" applyAlignment="1">
      <alignment horizontal="center"/>
    </xf>
    <xf numFmtId="0" fontId="3" fillId="17" borderId="21" xfId="0" applyFont="1" applyFill="1" applyBorder="1" applyAlignment="1">
      <alignment horizontal="center"/>
    </xf>
    <xf numFmtId="0" fontId="3" fillId="16" borderId="17" xfId="0" applyFont="1" applyFill="1" applyBorder="1"/>
    <xf numFmtId="164" fontId="9" fillId="16" borderId="22" xfId="0" applyNumberFormat="1" applyFont="1" applyFill="1" applyBorder="1" applyAlignment="1">
      <alignment horizontal="center"/>
    </xf>
    <xf numFmtId="164" fontId="9" fillId="4" borderId="20" xfId="0" applyNumberFormat="1" applyFont="1" applyFill="1" applyBorder="1" applyAlignment="1">
      <alignment horizontal="center"/>
    </xf>
    <xf numFmtId="0" fontId="9" fillId="16" borderId="17" xfId="0" applyFont="1" applyFill="1" applyBorder="1"/>
    <xf numFmtId="164" fontId="9" fillId="0" borderId="18" xfId="0" applyNumberFormat="1" applyFont="1" applyBorder="1"/>
    <xf numFmtId="0" fontId="9" fillId="0" borderId="18" xfId="0" applyFont="1" applyBorder="1"/>
    <xf numFmtId="164" fontId="9" fillId="0" borderId="19" xfId="0" applyNumberFormat="1" applyFont="1" applyBorder="1"/>
    <xf numFmtId="0" fontId="9" fillId="16" borderId="0" xfId="0" applyFont="1" applyFill="1"/>
    <xf numFmtId="164" fontId="9" fillId="0" borderId="23" xfId="0" applyNumberFormat="1" applyFont="1" applyBorder="1"/>
    <xf numFmtId="164" fontId="9" fillId="0" borderId="19" xfId="0" applyNumberFormat="1" applyFont="1" applyBorder="1" applyAlignment="1">
      <alignment horizontal="right"/>
    </xf>
    <xf numFmtId="0" fontId="3" fillId="17" borderId="24" xfId="0" applyFont="1" applyFill="1" applyBorder="1"/>
    <xf numFmtId="164" fontId="9" fillId="4" borderId="22" xfId="0" applyNumberFormat="1" applyFont="1" applyFill="1" applyBorder="1" applyAlignment="1">
      <alignment horizontal="center"/>
    </xf>
    <xf numFmtId="0" fontId="9" fillId="0" borderId="22" xfId="0" applyFont="1" applyBorder="1"/>
    <xf numFmtId="0" fontId="8" fillId="0" borderId="0" xfId="0" applyFont="1" applyAlignment="1">
      <alignment horizontal="center"/>
    </xf>
    <xf numFmtId="0" fontId="38" fillId="0" borderId="0" xfId="0" applyFont="1" applyAlignment="1">
      <alignment horizontal="left" vertical="center" wrapText="1"/>
    </xf>
    <xf numFmtId="0" fontId="40" fillId="5" borderId="0" xfId="0" applyFont="1" applyFill="1" applyAlignment="1">
      <alignment horizontal="center" vertical="center" wrapText="1"/>
    </xf>
    <xf numFmtId="0" fontId="41" fillId="0" borderId="0" xfId="0" applyFont="1" applyAlignment="1">
      <alignment vertical="center" wrapText="1"/>
    </xf>
    <xf numFmtId="0" fontId="42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wrapText="1"/>
    </xf>
    <xf numFmtId="0" fontId="43" fillId="0" borderId="0" xfId="0" applyFont="1" applyAlignment="1">
      <alignment wrapText="1"/>
    </xf>
    <xf numFmtId="0" fontId="16" fillId="0" borderId="0" xfId="0" applyFont="1" applyAlignment="1">
      <alignment vertical="top" wrapText="1"/>
    </xf>
    <xf numFmtId="0" fontId="43" fillId="0" borderId="0" xfId="0" applyFont="1"/>
    <xf numFmtId="0" fontId="16" fillId="0" borderId="0" xfId="0" applyFont="1" applyAlignment="1">
      <alignment horizontal="left" vertical="top"/>
    </xf>
    <xf numFmtId="0" fontId="16" fillId="0" borderId="0" xfId="0" applyFont="1" applyAlignment="1">
      <alignment vertical="top"/>
    </xf>
    <xf numFmtId="0" fontId="41" fillId="18" borderId="25" xfId="0" applyFont="1" applyFill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wrapText="1"/>
    </xf>
    <xf numFmtId="0" fontId="4" fillId="0" borderId="0" xfId="0" applyFont="1" applyAlignment="1">
      <alignment wrapText="1"/>
    </xf>
    <xf numFmtId="0" fontId="7" fillId="4" borderId="1" xfId="0" applyFont="1" applyFill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13" fillId="5" borderId="0" xfId="0" applyFont="1" applyFill="1" applyAlignment="1">
      <alignment vertical="center"/>
    </xf>
    <xf numFmtId="0" fontId="9" fillId="5" borderId="0" xfId="0" applyFont="1" applyFill="1" applyAlignment="1">
      <alignment vertical="center"/>
    </xf>
    <xf numFmtId="0" fontId="23" fillId="2" borderId="5" xfId="0" applyFont="1" applyFill="1" applyBorder="1" applyAlignment="1">
      <alignment horizontal="center" vertical="center" wrapText="1"/>
    </xf>
    <xf numFmtId="0" fontId="24" fillId="6" borderId="0" xfId="0" applyFont="1" applyFill="1" applyAlignment="1">
      <alignment horizontal="center" vertical="center"/>
    </xf>
    <xf numFmtId="0" fontId="24" fillId="7" borderId="0" xfId="0" applyFont="1" applyFill="1" applyAlignment="1">
      <alignment horizontal="center" vertical="center"/>
    </xf>
    <xf numFmtId="0" fontId="25" fillId="8" borderId="0" xfId="0" applyFont="1" applyFill="1" applyAlignment="1">
      <alignment horizontal="center" vertical="center"/>
    </xf>
    <xf numFmtId="49" fontId="20" fillId="4" borderId="0" xfId="0" applyNumberFormat="1" applyFont="1" applyFill="1" applyAlignment="1">
      <alignment horizontal="left"/>
    </xf>
    <xf numFmtId="0" fontId="25" fillId="9" borderId="0" xfId="0" applyFont="1" applyFill="1" applyAlignment="1">
      <alignment horizontal="center"/>
    </xf>
    <xf numFmtId="0" fontId="27" fillId="4" borderId="0" xfId="0" applyFont="1" applyFill="1" applyAlignment="1">
      <alignment horizontal="center"/>
    </xf>
    <xf numFmtId="0" fontId="13" fillId="0" borderId="1" xfId="0" applyFont="1" applyBorder="1" applyAlignment="1">
      <alignment horizontal="center"/>
    </xf>
    <xf numFmtId="0" fontId="39" fillId="4" borderId="0" xfId="0" applyFont="1" applyFill="1" applyAlignment="1">
      <alignment horizontal="left" vertical="center"/>
    </xf>
    <xf numFmtId="0" fontId="47" fillId="2" borderId="1" xfId="0" applyFont="1" applyFill="1" applyBorder="1" applyAlignment="1">
      <alignment wrapText="1"/>
    </xf>
    <xf numFmtId="0" fontId="5" fillId="19" borderId="4" xfId="0" applyFont="1" applyFill="1" applyBorder="1"/>
    <xf numFmtId="0" fontId="2" fillId="0" borderId="2" xfId="0" applyFont="1" applyBorder="1" applyAlignment="1"/>
    <xf numFmtId="0" fontId="2" fillId="0" borderId="3" xfId="0" applyFont="1" applyBorder="1" applyAlignment="1"/>
    <xf numFmtId="0" fontId="3" fillId="2" borderId="1" xfId="0" applyFont="1" applyFill="1" applyBorder="1" applyAlignment="1"/>
    <xf numFmtId="0" fontId="0" fillId="0" borderId="0" xfId="0" applyAlignment="1"/>
    <xf numFmtId="0" fontId="5" fillId="19" borderId="1" xfId="0" applyFont="1" applyFill="1" applyBorder="1" applyAlignment="1"/>
    <xf numFmtId="0" fontId="2" fillId="19" borderId="3" xfId="0" applyFont="1" applyFill="1" applyBorder="1" applyAlignment="1"/>
    <xf numFmtId="0" fontId="17" fillId="5" borderId="0" xfId="0" applyFont="1" applyFill="1" applyAlignment="1"/>
    <xf numFmtId="0" fontId="19" fillId="0" borderId="0" xfId="0" applyFont="1" applyAlignment="1"/>
    <xf numFmtId="0" fontId="20" fillId="4" borderId="0" xfId="0" applyFont="1" applyFill="1" applyAlignment="1"/>
    <xf numFmtId="0" fontId="20" fillId="0" borderId="0" xfId="0" applyFont="1" applyAlignment="1"/>
    <xf numFmtId="0" fontId="2" fillId="0" borderId="5" xfId="0" applyFont="1" applyBorder="1" applyAlignment="1"/>
    <xf numFmtId="0" fontId="24" fillId="6" borderId="24" xfId="0" applyFont="1" applyFill="1" applyBorder="1" applyAlignment="1">
      <alignment horizontal="center"/>
    </xf>
    <xf numFmtId="0" fontId="32" fillId="12" borderId="24" xfId="0" applyFont="1" applyFill="1" applyBorder="1" applyAlignment="1">
      <alignment horizontal="left" vertical="center"/>
    </xf>
    <xf numFmtId="0" fontId="2" fillId="0" borderId="24" xfId="0" applyFont="1" applyBorder="1" applyAlignment="1"/>
    <xf numFmtId="0" fontId="2" fillId="0" borderId="14" xfId="0" applyFont="1" applyBorder="1" applyAlignment="1"/>
    <xf numFmtId="0" fontId="16" fillId="12" borderId="17" xfId="0" applyFont="1" applyFill="1" applyBorder="1"/>
    <xf numFmtId="0" fontId="33" fillId="13" borderId="22" xfId="0" applyFont="1" applyFill="1" applyBorder="1" applyAlignment="1">
      <alignment horizontal="center" vertical="top" wrapText="1"/>
    </xf>
    <xf numFmtId="0" fontId="33" fillId="9" borderId="22" xfId="0" applyFont="1" applyFill="1" applyBorder="1" applyAlignment="1">
      <alignment horizontal="center" vertical="top" wrapText="1"/>
    </xf>
    <xf numFmtId="0" fontId="16" fillId="12" borderId="22" xfId="0" applyFont="1" applyFill="1" applyBorder="1" applyAlignment="1">
      <alignment horizontal="center"/>
    </xf>
    <xf numFmtId="0" fontId="16" fillId="4" borderId="22" xfId="0" applyFont="1" applyFill="1" applyBorder="1" applyAlignment="1">
      <alignment horizontal="center"/>
    </xf>
    <xf numFmtId="0" fontId="16" fillId="4" borderId="22" xfId="0" applyFont="1" applyFill="1" applyBorder="1"/>
    <xf numFmtId="0" fontId="34" fillId="13" borderId="22" xfId="0" applyFont="1" applyFill="1" applyBorder="1" applyAlignment="1">
      <alignment horizontal="center" vertical="top"/>
    </xf>
    <xf numFmtId="0" fontId="35" fillId="9" borderId="22" xfId="0" applyFont="1" applyFill="1" applyBorder="1" applyAlignment="1">
      <alignment horizontal="center" vertical="top"/>
    </xf>
    <xf numFmtId="0" fontId="35" fillId="9" borderId="22" xfId="0" applyFont="1" applyFill="1" applyBorder="1" applyAlignment="1">
      <alignment horizontal="left" vertical="top"/>
    </xf>
    <xf numFmtId="0" fontId="35" fillId="15" borderId="17" xfId="0" applyFont="1" applyFill="1" applyBorder="1" applyAlignment="1">
      <alignment horizontal="center" vertical="center"/>
    </xf>
    <xf numFmtId="0" fontId="34" fillId="15" borderId="22" xfId="0" applyFont="1" applyFill="1" applyBorder="1" applyAlignment="1">
      <alignment horizontal="center" vertical="center"/>
    </xf>
    <xf numFmtId="0" fontId="9" fillId="16" borderId="22" xfId="0" applyFont="1" applyFill="1" applyBorder="1" applyAlignment="1">
      <alignment horizontal="center"/>
    </xf>
    <xf numFmtId="164" fontId="9" fillId="0" borderId="22" xfId="0" applyNumberFormat="1" applyFont="1" applyBorder="1"/>
    <xf numFmtId="0" fontId="3" fillId="17" borderId="24" xfId="0" applyFont="1" applyFill="1" applyBorder="1" applyAlignment="1">
      <alignment horizontal="right"/>
    </xf>
    <xf numFmtId="0" fontId="36" fillId="15" borderId="17" xfId="0" applyFont="1" applyFill="1" applyBorder="1"/>
    <xf numFmtId="0" fontId="37" fillId="15" borderId="17" xfId="0" applyFont="1" applyFill="1" applyBorder="1"/>
    <xf numFmtId="164" fontId="36" fillId="13" borderId="22" xfId="0" applyNumberFormat="1" applyFont="1" applyFill="1" applyBorder="1" applyAlignment="1">
      <alignment horizontal="center"/>
    </xf>
    <xf numFmtId="164" fontId="36" fillId="15" borderId="22" xfId="0" applyNumberFormat="1" applyFont="1" applyFill="1" applyBorder="1" applyAlignment="1">
      <alignment horizontal="center"/>
    </xf>
    <xf numFmtId="0" fontId="36" fillId="15" borderId="22" xfId="0" applyFont="1" applyFill="1" applyBorder="1"/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0</xdr:row>
      <xdr:rowOff>28575</xdr:rowOff>
    </xdr:from>
    <xdr:ext cx="1666875" cy="12096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52550" cy="92392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null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ull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85ABC"/>
    <outlinePr summaryBelow="0" summaryRight="0"/>
  </sheetPr>
  <dimension ref="A1:Z15"/>
  <sheetViews>
    <sheetView showGridLines="0" tabSelected="1" workbookViewId="0">
      <selection activeCell="D7" sqref="D7"/>
    </sheetView>
  </sheetViews>
  <sheetFormatPr defaultColWidth="14.42578125" defaultRowHeight="15.75" customHeight="1"/>
  <cols>
    <col min="1" max="1" width="34.140625" customWidth="1"/>
    <col min="2" max="2" width="47.5703125" customWidth="1"/>
    <col min="3" max="3" width="52.7109375" customWidth="1"/>
  </cols>
  <sheetData>
    <row r="1" spans="1:26" ht="24" customHeight="1">
      <c r="A1" s="107" t="s">
        <v>0</v>
      </c>
      <c r="B1" s="124"/>
      <c r="C1" s="125"/>
    </row>
    <row r="2" spans="1:26" ht="24" customHeight="1">
      <c r="A2" s="122" t="s">
        <v>1</v>
      </c>
      <c r="B2" s="124"/>
      <c r="C2" s="125"/>
    </row>
    <row r="3" spans="1:26" ht="24" customHeight="1">
      <c r="A3" s="122" t="s">
        <v>2</v>
      </c>
      <c r="B3" s="124"/>
      <c r="C3" s="125"/>
    </row>
    <row r="4" spans="1:26" ht="24" customHeight="1">
      <c r="A4" s="126" t="s">
        <v>3</v>
      </c>
      <c r="B4" s="124"/>
      <c r="C4" s="125"/>
    </row>
    <row r="5" spans="1:26" ht="14.25" customHeight="1">
      <c r="A5" s="108"/>
      <c r="B5" s="127"/>
      <c r="C5" s="127"/>
    </row>
    <row r="6" spans="1:26" ht="33" customHeight="1">
      <c r="A6" s="123" t="s">
        <v>4</v>
      </c>
      <c r="B6" s="128" t="s">
        <v>5</v>
      </c>
      <c r="C6" s="129"/>
    </row>
    <row r="7" spans="1:26" ht="33" customHeight="1">
      <c r="A7" s="2" t="s">
        <v>6</v>
      </c>
      <c r="B7" s="109" t="s">
        <v>7</v>
      </c>
      <c r="C7" s="125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3" customHeight="1">
      <c r="A8" s="2" t="s">
        <v>8</v>
      </c>
      <c r="B8" s="110" t="s">
        <v>9</v>
      </c>
      <c r="C8" s="125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3" customHeight="1">
      <c r="A9" s="2" t="s">
        <v>10</v>
      </c>
      <c r="B9" s="106" t="s">
        <v>11</v>
      </c>
      <c r="C9" s="125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3" customHeight="1">
      <c r="A10" s="2" t="s">
        <v>12</v>
      </c>
      <c r="B10" s="106" t="s">
        <v>13</v>
      </c>
      <c r="C10" s="12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3" customHeight="1">
      <c r="A11" s="2" t="s">
        <v>14</v>
      </c>
      <c r="B11" s="106" t="s">
        <v>15</v>
      </c>
      <c r="C11" s="12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3" customHeight="1">
      <c r="A12" s="2" t="s">
        <v>16</v>
      </c>
      <c r="B12" s="106" t="s">
        <v>17</v>
      </c>
      <c r="C12" s="125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3" customHeight="1">
      <c r="A13" s="2" t="s">
        <v>18</v>
      </c>
      <c r="B13" s="106" t="s">
        <v>19</v>
      </c>
      <c r="C13" s="125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3" customHeight="1">
      <c r="A14" s="2" t="s">
        <v>20</v>
      </c>
      <c r="B14" s="106" t="s">
        <v>21</v>
      </c>
      <c r="C14" s="125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33" customHeight="1">
      <c r="A15" s="1"/>
      <c r="B15" s="1"/>
      <c r="C15" s="1"/>
    </row>
  </sheetData>
  <mergeCells count="14">
    <mergeCell ref="B13:C13"/>
    <mergeCell ref="B14:C14"/>
    <mergeCell ref="A1:C1"/>
    <mergeCell ref="A2:C2"/>
    <mergeCell ref="A3:C3"/>
    <mergeCell ref="A4:C4"/>
    <mergeCell ref="A5:C5"/>
    <mergeCell ref="B6:C6"/>
    <mergeCell ref="B7:C7"/>
    <mergeCell ref="B8:C8"/>
    <mergeCell ref="B9:C9"/>
    <mergeCell ref="B10:C10"/>
    <mergeCell ref="B11:C11"/>
    <mergeCell ref="B12:C12"/>
  </mergeCells>
  <hyperlinks>
    <hyperlink ref="A10" location="null!A1" display="Schedule" xr:uid="{00000000-0004-0000-0000-000000000000}"/>
    <hyperlink ref="A11" location="null!A1" display="Budget" xr:uid="{00000000-0004-0000-0000-000001000000}"/>
    <hyperlink ref="A12" location="null!A1" display="Communication plan" xr:uid="{00000000-0004-0000-0000-000002000000}"/>
  </hyperlink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83F04"/>
    <outlinePr summaryBelow="0" summaryRight="0"/>
  </sheetPr>
  <dimension ref="A1:CE973"/>
  <sheetViews>
    <sheetView showGridLines="0" topLeftCell="A16" workbookViewId="0"/>
  </sheetViews>
  <sheetFormatPr defaultColWidth="14.42578125" defaultRowHeight="15.75" customHeight="1" outlineLevelRow="1"/>
  <cols>
    <col min="1" max="1" width="4.85546875" customWidth="1"/>
    <col min="2" max="2" width="12.7109375" customWidth="1"/>
    <col min="3" max="3" width="65.85546875" customWidth="1"/>
    <col min="4" max="4" width="29.140625" customWidth="1"/>
    <col min="5" max="6" width="12" customWidth="1"/>
    <col min="7" max="7" width="9.85546875" customWidth="1"/>
    <col min="9" max="38" width="3.42578125" customWidth="1"/>
    <col min="39" max="83" width="3.85546875" customWidth="1"/>
  </cols>
  <sheetData>
    <row r="1" spans="1:83" ht="21" customHeight="1">
      <c r="A1" s="4"/>
      <c r="B1" s="5"/>
      <c r="C1" s="6"/>
      <c r="D1" s="6"/>
      <c r="E1" s="6"/>
      <c r="F1" s="7"/>
      <c r="G1" s="7"/>
      <c r="H1" s="6"/>
      <c r="I1" s="8"/>
      <c r="J1" s="9"/>
      <c r="K1" s="10"/>
      <c r="L1" s="11"/>
      <c r="M1" s="10"/>
      <c r="N1" s="10"/>
      <c r="O1" s="10"/>
      <c r="P1" s="10"/>
      <c r="Q1" s="10"/>
      <c r="R1" s="10"/>
      <c r="S1" s="4"/>
      <c r="T1" s="4"/>
      <c r="U1" s="4"/>
      <c r="V1" s="4"/>
      <c r="W1" s="4"/>
      <c r="X1" s="4"/>
      <c r="Y1" s="4"/>
      <c r="Z1" s="4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</row>
    <row r="2" spans="1:83" ht="21" customHeight="1">
      <c r="A2" s="4"/>
      <c r="B2" s="5"/>
      <c r="C2" s="6"/>
      <c r="D2" s="6"/>
      <c r="E2" s="6"/>
      <c r="F2" s="7"/>
      <c r="G2" s="7"/>
      <c r="H2" s="6"/>
      <c r="I2" s="8"/>
      <c r="J2" s="9"/>
      <c r="K2" s="10"/>
      <c r="L2" s="11"/>
      <c r="M2" s="10"/>
      <c r="N2" s="10"/>
      <c r="O2" s="10"/>
      <c r="P2" s="10"/>
      <c r="Q2" s="10"/>
      <c r="R2" s="10"/>
      <c r="S2" s="4"/>
      <c r="T2" s="4"/>
      <c r="U2" s="4"/>
      <c r="V2" s="4"/>
      <c r="W2" s="4"/>
      <c r="X2" s="4"/>
      <c r="Y2" s="4"/>
      <c r="Z2" s="4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</row>
    <row r="3" spans="1:83" ht="21" customHeight="1">
      <c r="A3" s="4"/>
      <c r="B3" s="5"/>
      <c r="C3" s="6"/>
      <c r="D3" s="6"/>
      <c r="E3" s="6"/>
      <c r="F3" s="7"/>
      <c r="G3" s="7"/>
      <c r="H3" s="6"/>
      <c r="I3" s="8"/>
      <c r="J3" s="9"/>
      <c r="K3" s="10"/>
      <c r="L3" s="11"/>
      <c r="M3" s="10"/>
      <c r="N3" s="10"/>
      <c r="O3" s="10"/>
      <c r="P3" s="10"/>
      <c r="Q3" s="10"/>
      <c r="R3" s="10"/>
      <c r="S3" s="4"/>
      <c r="T3" s="4"/>
      <c r="U3" s="4"/>
      <c r="V3" s="4"/>
      <c r="W3" s="4"/>
      <c r="X3" s="4"/>
      <c r="Y3" s="4"/>
      <c r="Z3" s="4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</row>
    <row r="4" spans="1:83" ht="21" customHeight="1">
      <c r="A4" s="4"/>
      <c r="B4" s="5"/>
      <c r="C4" s="6"/>
      <c r="D4" s="6"/>
      <c r="E4" s="6"/>
      <c r="F4" s="7"/>
      <c r="G4" s="7"/>
      <c r="H4" s="6"/>
      <c r="I4" s="8"/>
      <c r="J4" s="9"/>
      <c r="K4" s="10"/>
      <c r="L4" s="11"/>
      <c r="M4" s="10"/>
      <c r="N4" s="10"/>
      <c r="O4" s="10"/>
      <c r="P4" s="10"/>
      <c r="Q4" s="10"/>
      <c r="R4" s="10"/>
      <c r="S4" s="4"/>
      <c r="T4" s="4"/>
      <c r="U4" s="4"/>
      <c r="V4" s="4"/>
      <c r="W4" s="4"/>
      <c r="X4" s="4"/>
      <c r="Y4" s="4"/>
      <c r="Z4" s="4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</row>
    <row r="5" spans="1:83" ht="17.25" customHeight="1">
      <c r="A5" s="4"/>
      <c r="B5" s="5"/>
      <c r="C5" s="6"/>
      <c r="D5" s="6"/>
      <c r="E5" s="6"/>
      <c r="F5" s="7"/>
      <c r="G5" s="7"/>
      <c r="H5" s="6"/>
      <c r="I5" s="8"/>
      <c r="J5" s="9"/>
      <c r="K5" s="10"/>
      <c r="L5" s="11"/>
      <c r="M5" s="10"/>
      <c r="N5" s="10"/>
      <c r="O5" s="10"/>
      <c r="P5" s="10"/>
      <c r="Q5" s="10"/>
      <c r="R5" s="10"/>
      <c r="S5" s="4"/>
      <c r="T5" s="4"/>
      <c r="U5" s="4"/>
      <c r="V5" s="4"/>
      <c r="W5" s="4"/>
      <c r="X5" s="4"/>
      <c r="Y5" s="4"/>
      <c r="Z5" s="4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</row>
    <row r="6" spans="1:83" ht="1.5" customHeight="1">
      <c r="A6" s="4"/>
      <c r="B6" s="13"/>
      <c r="C6" s="6"/>
      <c r="D6" s="14"/>
      <c r="E6" s="6"/>
      <c r="F6" s="7"/>
      <c r="G6" s="7"/>
      <c r="H6" s="6"/>
      <c r="I6" s="8"/>
      <c r="J6" s="9"/>
      <c r="K6" s="10"/>
      <c r="L6" s="11"/>
      <c r="M6" s="10"/>
      <c r="N6" s="10"/>
      <c r="O6" s="10"/>
      <c r="P6" s="10"/>
      <c r="Q6" s="10"/>
      <c r="R6" s="10"/>
      <c r="S6" s="4"/>
      <c r="T6" s="4"/>
      <c r="U6" s="4"/>
      <c r="V6" s="4"/>
      <c r="W6" s="4"/>
      <c r="X6" s="4"/>
      <c r="Y6" s="4"/>
      <c r="Z6" s="4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</row>
    <row r="7" spans="1:83" ht="37.5">
      <c r="A7" s="15"/>
      <c r="B7" s="130" t="s">
        <v>22</v>
      </c>
      <c r="C7" s="127"/>
      <c r="D7" s="127"/>
      <c r="E7" s="127"/>
      <c r="F7" s="127"/>
      <c r="G7" s="127"/>
      <c r="H7" s="127"/>
      <c r="I7" s="111"/>
      <c r="J7" s="127"/>
      <c r="K7" s="127"/>
      <c r="L7" s="127"/>
      <c r="M7" s="127"/>
      <c r="N7" s="16"/>
      <c r="O7" s="16"/>
      <c r="P7" s="16"/>
      <c r="Q7" s="16"/>
      <c r="R7" s="16"/>
      <c r="S7" s="112"/>
      <c r="T7" s="127"/>
      <c r="U7" s="127"/>
      <c r="V7" s="127"/>
      <c r="W7" s="127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</row>
    <row r="8" spans="1:83" ht="21" customHeight="1">
      <c r="A8" s="18"/>
      <c r="B8" s="12"/>
      <c r="C8" s="19"/>
      <c r="D8" s="19"/>
      <c r="E8" s="19"/>
      <c r="F8" s="19"/>
      <c r="G8" s="19"/>
      <c r="H8" s="19"/>
      <c r="I8" s="20"/>
      <c r="J8" s="20"/>
      <c r="K8" s="20"/>
      <c r="L8" s="20"/>
      <c r="M8" s="20"/>
      <c r="N8" s="20"/>
      <c r="O8" s="20"/>
      <c r="P8" s="20"/>
      <c r="Q8" s="20"/>
      <c r="R8" s="20"/>
      <c r="S8" s="4"/>
      <c r="T8" s="4"/>
      <c r="U8" s="4"/>
      <c r="V8" s="4"/>
      <c r="W8" s="4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</row>
    <row r="9" spans="1:83" ht="21" customHeight="1">
      <c r="A9" s="4"/>
      <c r="B9" s="131" t="s">
        <v>23</v>
      </c>
      <c r="C9" s="127"/>
      <c r="D9" s="132"/>
      <c r="E9" s="127"/>
      <c r="F9" s="127"/>
      <c r="G9" s="127"/>
      <c r="H9" s="22"/>
      <c r="I9" s="131" t="s">
        <v>24</v>
      </c>
      <c r="J9" s="127"/>
      <c r="K9" s="127"/>
      <c r="L9" s="127"/>
      <c r="M9" s="127"/>
      <c r="N9" s="132" t="s">
        <v>25</v>
      </c>
      <c r="O9" s="127"/>
      <c r="P9" s="127"/>
      <c r="Q9" s="127"/>
      <c r="R9" s="127"/>
      <c r="S9" s="127"/>
      <c r="T9" s="127"/>
      <c r="U9" s="127"/>
      <c r="V9" s="127"/>
      <c r="W9" s="127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</row>
    <row r="10" spans="1:83" ht="21" customHeight="1">
      <c r="A10" s="4"/>
      <c r="B10" s="131" t="s">
        <v>26</v>
      </c>
      <c r="C10" s="127"/>
      <c r="D10" s="133"/>
      <c r="E10" s="127"/>
      <c r="F10" s="127"/>
      <c r="G10" s="127"/>
      <c r="H10" s="12"/>
      <c r="I10" s="131" t="s">
        <v>27</v>
      </c>
      <c r="J10" s="127"/>
      <c r="K10" s="127"/>
      <c r="L10" s="127"/>
      <c r="M10" s="127"/>
      <c r="N10" s="117" t="s">
        <v>28</v>
      </c>
      <c r="O10" s="127"/>
      <c r="P10" s="127"/>
      <c r="Q10" s="127"/>
      <c r="R10" s="127"/>
      <c r="S10" s="127"/>
      <c r="T10" s="127"/>
      <c r="U10" s="127"/>
      <c r="V10" s="127"/>
      <c r="W10" s="127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</row>
    <row r="11" spans="1:83" ht="21" customHeight="1">
      <c r="A11" s="4"/>
      <c r="B11" s="10"/>
      <c r="C11" s="10"/>
      <c r="D11" s="10"/>
      <c r="E11" s="10"/>
      <c r="F11" s="10"/>
      <c r="G11" s="9"/>
      <c r="H11" s="9"/>
      <c r="I11" s="10"/>
      <c r="J11" s="10"/>
      <c r="K11" s="10"/>
      <c r="L11" s="10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</row>
    <row r="12" spans="1:83" ht="21" customHeight="1">
      <c r="A12" s="4"/>
      <c r="B12" s="10"/>
      <c r="C12" s="10"/>
      <c r="D12" s="10"/>
      <c r="E12" s="10"/>
      <c r="F12" s="10"/>
      <c r="G12" s="9"/>
      <c r="H12" s="9"/>
      <c r="I12" s="10"/>
      <c r="J12" s="10"/>
      <c r="K12" s="10"/>
      <c r="L12" s="10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</row>
    <row r="13" spans="1:83" ht="17.25" customHeight="1">
      <c r="A13" s="25"/>
      <c r="B13" s="113" t="s">
        <v>29</v>
      </c>
      <c r="C13" s="113" t="s">
        <v>30</v>
      </c>
      <c r="D13" s="113" t="s">
        <v>31</v>
      </c>
      <c r="E13" s="113" t="s">
        <v>32</v>
      </c>
      <c r="F13" s="113" t="s">
        <v>33</v>
      </c>
      <c r="G13" s="113" t="s">
        <v>34</v>
      </c>
      <c r="H13" s="113" t="s">
        <v>35</v>
      </c>
      <c r="I13" s="114" t="s">
        <v>36</v>
      </c>
      <c r="J13" s="127"/>
      <c r="K13" s="127"/>
      <c r="L13" s="127"/>
      <c r="M13" s="127"/>
      <c r="N13" s="127"/>
      <c r="O13" s="127"/>
      <c r="P13" s="127"/>
      <c r="Q13" s="127"/>
      <c r="R13" s="127"/>
      <c r="S13" s="127"/>
      <c r="T13" s="127"/>
      <c r="U13" s="127"/>
      <c r="V13" s="127"/>
      <c r="W13" s="127"/>
      <c r="X13" s="127"/>
      <c r="Y13" s="127"/>
      <c r="Z13" s="127"/>
      <c r="AA13" s="127"/>
      <c r="AB13" s="127"/>
      <c r="AC13" s="127"/>
      <c r="AD13" s="127"/>
      <c r="AE13" s="127"/>
      <c r="AF13" s="127"/>
      <c r="AG13" s="127"/>
      <c r="AH13" s="127"/>
      <c r="AI13" s="127"/>
      <c r="AJ13" s="127"/>
      <c r="AK13" s="127"/>
      <c r="AL13" s="127"/>
      <c r="AM13" s="115" t="s">
        <v>37</v>
      </c>
      <c r="AN13" s="127"/>
      <c r="AO13" s="127"/>
      <c r="AP13" s="127"/>
      <c r="AQ13" s="127"/>
      <c r="AR13" s="127"/>
      <c r="AS13" s="127"/>
      <c r="AT13" s="127"/>
      <c r="AU13" s="127"/>
      <c r="AV13" s="127"/>
      <c r="AW13" s="127"/>
      <c r="AX13" s="127"/>
      <c r="AY13" s="127"/>
      <c r="AZ13" s="127"/>
      <c r="BA13" s="127"/>
      <c r="BB13" s="116" t="s">
        <v>38</v>
      </c>
      <c r="BC13" s="127"/>
      <c r="BD13" s="127"/>
      <c r="BE13" s="127"/>
      <c r="BF13" s="127"/>
      <c r="BG13" s="127"/>
      <c r="BH13" s="127"/>
      <c r="BI13" s="127"/>
      <c r="BJ13" s="127"/>
      <c r="BK13" s="127"/>
      <c r="BL13" s="127"/>
      <c r="BM13" s="127"/>
      <c r="BN13" s="127"/>
      <c r="BO13" s="127"/>
      <c r="BP13" s="127"/>
      <c r="BQ13" s="127"/>
      <c r="BR13" s="127"/>
      <c r="BS13" s="127"/>
      <c r="BT13" s="127"/>
      <c r="BU13" s="127"/>
      <c r="BV13" s="127"/>
      <c r="BW13" s="127"/>
      <c r="BX13" s="127"/>
      <c r="BY13" s="127"/>
      <c r="BZ13" s="127"/>
      <c r="CA13" s="127"/>
      <c r="CB13" s="127"/>
      <c r="CC13" s="127"/>
      <c r="CD13" s="127"/>
      <c r="CE13" s="127"/>
    </row>
    <row r="14" spans="1:83" ht="17.25" customHeight="1">
      <c r="A14" s="26"/>
      <c r="B14" s="134"/>
      <c r="C14" s="134"/>
      <c r="D14" s="134"/>
      <c r="E14" s="134"/>
      <c r="F14" s="134"/>
      <c r="G14" s="134"/>
      <c r="H14" s="134"/>
      <c r="I14" s="118" t="s">
        <v>39</v>
      </c>
      <c r="J14" s="127"/>
      <c r="K14" s="127"/>
      <c r="L14" s="127"/>
      <c r="M14" s="127"/>
      <c r="N14" s="119" t="s">
        <v>40</v>
      </c>
      <c r="O14" s="127"/>
      <c r="P14" s="127"/>
      <c r="Q14" s="127"/>
      <c r="R14" s="127"/>
      <c r="S14" s="118" t="s">
        <v>41</v>
      </c>
      <c r="T14" s="127"/>
      <c r="U14" s="127"/>
      <c r="V14" s="127"/>
      <c r="W14" s="127"/>
      <c r="X14" s="119" t="s">
        <v>42</v>
      </c>
      <c r="Y14" s="127"/>
      <c r="Z14" s="127"/>
      <c r="AA14" s="127"/>
      <c r="AB14" s="127"/>
      <c r="AC14" s="118" t="s">
        <v>43</v>
      </c>
      <c r="AD14" s="127"/>
      <c r="AE14" s="127"/>
      <c r="AF14" s="127"/>
      <c r="AG14" s="127"/>
      <c r="AH14" s="119" t="s">
        <v>44</v>
      </c>
      <c r="AI14" s="127"/>
      <c r="AJ14" s="127"/>
      <c r="AK14" s="127"/>
      <c r="AL14" s="127"/>
      <c r="AM14" s="118" t="s">
        <v>45</v>
      </c>
      <c r="AN14" s="127"/>
      <c r="AO14" s="127"/>
      <c r="AP14" s="127"/>
      <c r="AQ14" s="127"/>
      <c r="AR14" s="119" t="s">
        <v>46</v>
      </c>
      <c r="AS14" s="127"/>
      <c r="AT14" s="127"/>
      <c r="AU14" s="127"/>
      <c r="AV14" s="127"/>
      <c r="AW14" s="118" t="s">
        <v>47</v>
      </c>
      <c r="AX14" s="127"/>
      <c r="AY14" s="127"/>
      <c r="AZ14" s="127"/>
      <c r="BA14" s="127"/>
      <c r="BB14" s="119" t="s">
        <v>48</v>
      </c>
      <c r="BC14" s="127"/>
      <c r="BD14" s="127"/>
      <c r="BE14" s="127"/>
      <c r="BF14" s="127"/>
      <c r="BG14" s="118" t="s">
        <v>49</v>
      </c>
      <c r="BH14" s="127"/>
      <c r="BI14" s="127"/>
      <c r="BJ14" s="127"/>
      <c r="BK14" s="127"/>
      <c r="BL14" s="119" t="s">
        <v>50</v>
      </c>
      <c r="BM14" s="127"/>
      <c r="BN14" s="127"/>
      <c r="BO14" s="127"/>
      <c r="BP14" s="127"/>
      <c r="BQ14" s="118" t="s">
        <v>51</v>
      </c>
      <c r="BR14" s="127"/>
      <c r="BS14" s="127"/>
      <c r="BT14" s="127"/>
      <c r="BU14" s="127"/>
      <c r="BV14" s="119" t="s">
        <v>52</v>
      </c>
      <c r="BW14" s="127"/>
      <c r="BX14" s="127"/>
      <c r="BY14" s="127"/>
      <c r="BZ14" s="127"/>
      <c r="CA14" s="118" t="s">
        <v>53</v>
      </c>
      <c r="CB14" s="127"/>
      <c r="CC14" s="127"/>
      <c r="CD14" s="127"/>
      <c r="CE14" s="127"/>
    </row>
    <row r="15" spans="1:83" ht="17.25" customHeight="1">
      <c r="A15" s="26"/>
      <c r="B15" s="134"/>
      <c r="C15" s="134"/>
      <c r="D15" s="134"/>
      <c r="E15" s="134"/>
      <c r="F15" s="134"/>
      <c r="G15" s="134"/>
      <c r="H15" s="134"/>
      <c r="I15" s="27" t="s">
        <v>54</v>
      </c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9"/>
      <c r="AF15" s="27" t="s">
        <v>55</v>
      </c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9"/>
      <c r="BB15" s="27" t="s">
        <v>56</v>
      </c>
      <c r="BC15" s="28"/>
      <c r="BD15" s="28"/>
      <c r="BE15" s="28"/>
      <c r="BF15" s="28"/>
      <c r="BG15" s="28"/>
      <c r="BH15" s="28"/>
      <c r="BI15" s="28"/>
      <c r="BJ15" s="28"/>
      <c r="BK15" s="28"/>
      <c r="BL15" s="28"/>
      <c r="BM15" s="28"/>
      <c r="BN15" s="28"/>
      <c r="BO15" s="28"/>
      <c r="BP15" s="28"/>
      <c r="BQ15" s="28"/>
      <c r="BR15" s="28"/>
      <c r="BS15" s="28"/>
      <c r="BT15" s="28"/>
      <c r="BU15" s="28"/>
      <c r="BV15" s="29"/>
      <c r="BW15" s="27" t="s">
        <v>57</v>
      </c>
      <c r="BX15" s="28"/>
      <c r="BY15" s="28"/>
      <c r="BZ15" s="28"/>
      <c r="CA15" s="28"/>
      <c r="CB15" s="28"/>
      <c r="CC15" s="28"/>
      <c r="CD15" s="28"/>
      <c r="CE15" s="28"/>
    </row>
    <row r="16" spans="1:83" ht="17.25" customHeight="1">
      <c r="A16" s="26"/>
      <c r="B16" s="134"/>
      <c r="C16" s="134"/>
      <c r="D16" s="134"/>
      <c r="E16" s="134"/>
      <c r="F16" s="134"/>
      <c r="G16" s="134"/>
      <c r="H16" s="134"/>
      <c r="I16" s="30" t="s">
        <v>58</v>
      </c>
      <c r="J16" s="30" t="s">
        <v>59</v>
      </c>
      <c r="K16" s="30" t="s">
        <v>60</v>
      </c>
      <c r="L16" s="30" t="s">
        <v>61</v>
      </c>
      <c r="M16" s="30" t="s">
        <v>62</v>
      </c>
      <c r="N16" s="30" t="s">
        <v>58</v>
      </c>
      <c r="O16" s="30" t="s">
        <v>59</v>
      </c>
      <c r="P16" s="30" t="s">
        <v>60</v>
      </c>
      <c r="Q16" s="30" t="s">
        <v>61</v>
      </c>
      <c r="R16" s="30" t="s">
        <v>62</v>
      </c>
      <c r="S16" s="30" t="s">
        <v>58</v>
      </c>
      <c r="T16" s="30" t="s">
        <v>59</v>
      </c>
      <c r="U16" s="30" t="s">
        <v>60</v>
      </c>
      <c r="V16" s="30" t="s">
        <v>61</v>
      </c>
      <c r="W16" s="30" t="s">
        <v>62</v>
      </c>
      <c r="X16" s="30" t="s">
        <v>58</v>
      </c>
      <c r="Y16" s="30" t="s">
        <v>59</v>
      </c>
      <c r="Z16" s="30" t="s">
        <v>60</v>
      </c>
      <c r="AA16" s="30" t="s">
        <v>61</v>
      </c>
      <c r="AB16" s="30" t="s">
        <v>62</v>
      </c>
      <c r="AC16" s="30" t="s">
        <v>58</v>
      </c>
      <c r="AD16" s="30" t="s">
        <v>59</v>
      </c>
      <c r="AE16" s="30" t="s">
        <v>60</v>
      </c>
      <c r="AF16" s="30" t="s">
        <v>61</v>
      </c>
      <c r="AG16" s="30" t="s">
        <v>62</v>
      </c>
      <c r="AH16" s="30" t="s">
        <v>58</v>
      </c>
      <c r="AI16" s="30" t="s">
        <v>59</v>
      </c>
      <c r="AJ16" s="30" t="s">
        <v>60</v>
      </c>
      <c r="AK16" s="30" t="s">
        <v>61</v>
      </c>
      <c r="AL16" s="30" t="s">
        <v>62</v>
      </c>
      <c r="AM16" s="31" t="s">
        <v>58</v>
      </c>
      <c r="AN16" s="31" t="s">
        <v>59</v>
      </c>
      <c r="AO16" s="31" t="s">
        <v>60</v>
      </c>
      <c r="AP16" s="31" t="s">
        <v>61</v>
      </c>
      <c r="AQ16" s="31" t="s">
        <v>62</v>
      </c>
      <c r="AR16" s="31" t="s">
        <v>58</v>
      </c>
      <c r="AS16" s="31" t="s">
        <v>59</v>
      </c>
      <c r="AT16" s="31" t="s">
        <v>60</v>
      </c>
      <c r="AU16" s="31" t="s">
        <v>61</v>
      </c>
      <c r="AV16" s="31" t="s">
        <v>62</v>
      </c>
      <c r="AW16" s="31" t="s">
        <v>58</v>
      </c>
      <c r="AX16" s="31" t="s">
        <v>59</v>
      </c>
      <c r="AY16" s="31" t="s">
        <v>60</v>
      </c>
      <c r="AZ16" s="31" t="s">
        <v>61</v>
      </c>
      <c r="BA16" s="31" t="s">
        <v>62</v>
      </c>
      <c r="BB16" s="32" t="s">
        <v>58</v>
      </c>
      <c r="BC16" s="32" t="s">
        <v>59</v>
      </c>
      <c r="BD16" s="32" t="s">
        <v>60</v>
      </c>
      <c r="BE16" s="32" t="s">
        <v>61</v>
      </c>
      <c r="BF16" s="32" t="s">
        <v>62</v>
      </c>
      <c r="BG16" s="32" t="s">
        <v>58</v>
      </c>
      <c r="BH16" s="32" t="s">
        <v>59</v>
      </c>
      <c r="BI16" s="32" t="s">
        <v>60</v>
      </c>
      <c r="BJ16" s="32" t="s">
        <v>61</v>
      </c>
      <c r="BK16" s="32" t="s">
        <v>62</v>
      </c>
      <c r="BL16" s="32" t="s">
        <v>58</v>
      </c>
      <c r="BM16" s="32" t="s">
        <v>59</v>
      </c>
      <c r="BN16" s="32" t="s">
        <v>60</v>
      </c>
      <c r="BO16" s="32" t="s">
        <v>61</v>
      </c>
      <c r="BP16" s="32" t="s">
        <v>62</v>
      </c>
      <c r="BQ16" s="32" t="s">
        <v>58</v>
      </c>
      <c r="BR16" s="32" t="s">
        <v>59</v>
      </c>
      <c r="BS16" s="32" t="s">
        <v>60</v>
      </c>
      <c r="BT16" s="32" t="s">
        <v>61</v>
      </c>
      <c r="BU16" s="32" t="s">
        <v>62</v>
      </c>
      <c r="BV16" s="32" t="s">
        <v>58</v>
      </c>
      <c r="BW16" s="32" t="s">
        <v>59</v>
      </c>
      <c r="BX16" s="32" t="s">
        <v>60</v>
      </c>
      <c r="BY16" s="32" t="s">
        <v>61</v>
      </c>
      <c r="BZ16" s="32" t="s">
        <v>62</v>
      </c>
      <c r="CA16" s="32" t="s">
        <v>58</v>
      </c>
      <c r="CB16" s="32" t="s">
        <v>59</v>
      </c>
      <c r="CC16" s="32" t="s">
        <v>60</v>
      </c>
      <c r="CD16" s="32" t="s">
        <v>61</v>
      </c>
      <c r="CE16" s="32" t="s">
        <v>62</v>
      </c>
    </row>
    <row r="17" spans="1:83" ht="21" customHeight="1">
      <c r="A17" s="24"/>
      <c r="B17" s="33">
        <v>1</v>
      </c>
      <c r="C17" s="34" t="s">
        <v>63</v>
      </c>
      <c r="D17" s="35"/>
      <c r="E17" s="35"/>
      <c r="F17" s="35"/>
      <c r="G17" s="35"/>
      <c r="H17" s="35"/>
      <c r="I17" s="135">
        <v>1</v>
      </c>
      <c r="J17" s="135">
        <v>2</v>
      </c>
      <c r="K17" s="135">
        <v>3</v>
      </c>
      <c r="L17" s="135">
        <v>4</v>
      </c>
      <c r="M17" s="135">
        <v>5</v>
      </c>
      <c r="N17" s="135">
        <v>8</v>
      </c>
      <c r="O17" s="135">
        <v>9</v>
      </c>
      <c r="P17" s="135">
        <v>10</v>
      </c>
      <c r="Q17" s="135">
        <v>11</v>
      </c>
      <c r="R17" s="135">
        <v>12</v>
      </c>
      <c r="S17" s="135">
        <v>15</v>
      </c>
      <c r="T17" s="135">
        <v>16</v>
      </c>
      <c r="U17" s="135">
        <v>17</v>
      </c>
      <c r="V17" s="135">
        <v>18</v>
      </c>
      <c r="W17" s="135">
        <v>19</v>
      </c>
      <c r="X17" s="135">
        <v>22</v>
      </c>
      <c r="Y17" s="135">
        <v>23</v>
      </c>
      <c r="Z17" s="135">
        <v>24</v>
      </c>
      <c r="AA17" s="135">
        <v>25</v>
      </c>
      <c r="AB17" s="135">
        <v>26</v>
      </c>
      <c r="AC17" s="135">
        <v>29</v>
      </c>
      <c r="AD17" s="135">
        <v>30</v>
      </c>
      <c r="AE17" s="135">
        <v>31</v>
      </c>
      <c r="AF17" s="135">
        <v>1</v>
      </c>
      <c r="AG17" s="135">
        <v>2</v>
      </c>
      <c r="AH17" s="135">
        <v>5</v>
      </c>
      <c r="AI17" s="135">
        <v>6</v>
      </c>
      <c r="AJ17" s="135">
        <v>7</v>
      </c>
      <c r="AK17" s="135">
        <v>8</v>
      </c>
      <c r="AL17" s="135">
        <v>9</v>
      </c>
      <c r="AM17" s="36">
        <v>12</v>
      </c>
      <c r="AN17" s="36">
        <v>13</v>
      </c>
      <c r="AO17" s="36">
        <v>14</v>
      </c>
      <c r="AP17" s="36">
        <v>15</v>
      </c>
      <c r="AQ17" s="36">
        <v>16</v>
      </c>
      <c r="AR17" s="36">
        <v>19</v>
      </c>
      <c r="AS17" s="36">
        <v>20</v>
      </c>
      <c r="AT17" s="36">
        <v>21</v>
      </c>
      <c r="AU17" s="36">
        <v>22</v>
      </c>
      <c r="AV17" s="36">
        <v>23</v>
      </c>
      <c r="AW17" s="36">
        <v>26</v>
      </c>
      <c r="AX17" s="36">
        <v>27</v>
      </c>
      <c r="AY17" s="36">
        <v>28</v>
      </c>
      <c r="AZ17" s="36">
        <v>29</v>
      </c>
      <c r="BA17" s="36">
        <v>30</v>
      </c>
      <c r="BB17" s="37">
        <v>3</v>
      </c>
      <c r="BC17" s="37">
        <v>4</v>
      </c>
      <c r="BD17" s="37">
        <v>5</v>
      </c>
      <c r="BE17" s="37">
        <v>6</v>
      </c>
      <c r="BF17" s="37">
        <v>7</v>
      </c>
      <c r="BG17" s="37">
        <v>10</v>
      </c>
      <c r="BH17" s="37">
        <v>11</v>
      </c>
      <c r="BI17" s="37">
        <v>12</v>
      </c>
      <c r="BJ17" s="37">
        <v>13</v>
      </c>
      <c r="BK17" s="37">
        <v>14</v>
      </c>
      <c r="BL17" s="37">
        <v>17</v>
      </c>
      <c r="BM17" s="37">
        <v>18</v>
      </c>
      <c r="BN17" s="37">
        <v>19</v>
      </c>
      <c r="BO17" s="37">
        <v>20</v>
      </c>
      <c r="BP17" s="37">
        <v>21</v>
      </c>
      <c r="BQ17" s="37">
        <v>24</v>
      </c>
      <c r="BR17" s="37">
        <v>25</v>
      </c>
      <c r="BS17" s="37">
        <v>26</v>
      </c>
      <c r="BT17" s="37">
        <v>27</v>
      </c>
      <c r="BU17" s="37">
        <v>28</v>
      </c>
      <c r="BV17" s="37">
        <v>31</v>
      </c>
      <c r="BW17" s="37">
        <v>1</v>
      </c>
      <c r="BX17" s="37">
        <v>2</v>
      </c>
      <c r="BY17" s="37">
        <v>3</v>
      </c>
      <c r="BZ17" s="37">
        <v>4</v>
      </c>
      <c r="CA17" s="37">
        <v>7</v>
      </c>
      <c r="CB17" s="37">
        <v>8</v>
      </c>
      <c r="CC17" s="37">
        <v>9</v>
      </c>
      <c r="CD17" s="37">
        <v>10</v>
      </c>
      <c r="CE17" s="37">
        <v>11</v>
      </c>
    </row>
    <row r="18" spans="1:83" ht="12.75" outlineLevel="1">
      <c r="A18" s="38"/>
      <c r="B18" s="39">
        <v>1.1000000000000001</v>
      </c>
      <c r="C18" s="40" t="s">
        <v>64</v>
      </c>
      <c r="D18" s="41" t="s">
        <v>65</v>
      </c>
      <c r="E18" s="42" t="s">
        <v>66</v>
      </c>
      <c r="F18" s="42" t="s">
        <v>67</v>
      </c>
      <c r="G18" s="41">
        <v>10</v>
      </c>
      <c r="H18" s="43">
        <v>0</v>
      </c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5"/>
      <c r="T18" s="45"/>
      <c r="U18" s="45"/>
      <c r="V18" s="45"/>
      <c r="W18" s="45"/>
      <c r="X18" s="45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6"/>
      <c r="AP18" s="46"/>
      <c r="AQ18" s="46"/>
      <c r="AR18" s="46"/>
      <c r="AS18" s="46"/>
      <c r="AT18" s="46"/>
      <c r="AU18" s="46"/>
      <c r="AV18" s="46"/>
      <c r="AW18" s="46"/>
      <c r="AX18" s="46"/>
      <c r="AY18" s="46"/>
      <c r="AZ18" s="46"/>
      <c r="BA18" s="46"/>
      <c r="BB18" s="46"/>
      <c r="BC18" s="46"/>
      <c r="BD18" s="46"/>
      <c r="BE18" s="46"/>
      <c r="BF18" s="46"/>
      <c r="BG18" s="46"/>
      <c r="BH18" s="46"/>
      <c r="BI18" s="46"/>
      <c r="BJ18" s="46"/>
      <c r="BK18" s="46"/>
      <c r="BL18" s="46"/>
      <c r="BM18" s="46"/>
      <c r="BN18" s="46"/>
      <c r="BO18" s="46"/>
      <c r="BP18" s="46"/>
      <c r="BQ18" s="46"/>
      <c r="BR18" s="46"/>
      <c r="BS18" s="46"/>
      <c r="BT18" s="46"/>
      <c r="BU18" s="46"/>
      <c r="BV18" s="46"/>
      <c r="BW18" s="46"/>
      <c r="BX18" s="46"/>
      <c r="BY18" s="46"/>
      <c r="BZ18" s="46"/>
      <c r="CA18" s="46"/>
      <c r="CB18" s="46"/>
      <c r="CC18" s="46"/>
      <c r="CD18" s="46"/>
      <c r="CE18" s="46"/>
    </row>
    <row r="19" spans="1:83" ht="17.25" customHeight="1" outlineLevel="1">
      <c r="A19" s="38"/>
      <c r="B19" s="39">
        <v>1.2</v>
      </c>
      <c r="C19" s="40" t="s">
        <v>68</v>
      </c>
      <c r="D19" s="41" t="s">
        <v>69</v>
      </c>
      <c r="E19" s="42" t="s">
        <v>70</v>
      </c>
      <c r="F19" s="42" t="s">
        <v>71</v>
      </c>
      <c r="G19" s="41">
        <v>10</v>
      </c>
      <c r="H19" s="43">
        <v>0</v>
      </c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7"/>
      <c r="AV19" s="47"/>
      <c r="AW19" s="47"/>
      <c r="AX19" s="47"/>
      <c r="AY19" s="47"/>
      <c r="AZ19" s="47"/>
      <c r="BA19" s="47"/>
      <c r="BB19" s="47"/>
      <c r="BC19" s="47"/>
      <c r="BD19" s="47"/>
      <c r="BE19" s="47"/>
      <c r="BF19" s="47"/>
      <c r="BG19" s="47"/>
      <c r="BH19" s="47"/>
      <c r="BI19" s="47"/>
      <c r="BJ19" s="47"/>
      <c r="BK19" s="47"/>
      <c r="BL19" s="47"/>
      <c r="BM19" s="47"/>
      <c r="BN19" s="47"/>
      <c r="BO19" s="47"/>
      <c r="BP19" s="47"/>
      <c r="BQ19" s="47"/>
      <c r="BR19" s="47"/>
      <c r="BS19" s="47"/>
      <c r="BT19" s="47"/>
      <c r="BU19" s="47"/>
      <c r="BV19" s="47"/>
      <c r="BW19" s="47"/>
      <c r="BX19" s="47"/>
      <c r="BY19" s="47"/>
      <c r="BZ19" s="47"/>
      <c r="CA19" s="47"/>
      <c r="CB19" s="47"/>
      <c r="CC19" s="47"/>
      <c r="CD19" s="47"/>
      <c r="CE19" s="47"/>
    </row>
    <row r="20" spans="1:83" ht="17.25" customHeight="1" outlineLevel="1">
      <c r="A20" s="38"/>
      <c r="B20" s="39">
        <v>1.3</v>
      </c>
      <c r="C20" s="40" t="s">
        <v>72</v>
      </c>
      <c r="D20" s="41" t="s">
        <v>73</v>
      </c>
      <c r="E20" s="42" t="s">
        <v>74</v>
      </c>
      <c r="F20" s="42" t="s">
        <v>75</v>
      </c>
      <c r="G20" s="41">
        <v>10</v>
      </c>
      <c r="H20" s="43">
        <v>0</v>
      </c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4"/>
      <c r="AD20" s="44"/>
      <c r="AE20" s="44"/>
      <c r="AF20" s="44"/>
      <c r="AG20" s="44"/>
      <c r="AH20" s="44"/>
      <c r="AI20" s="44"/>
      <c r="AJ20" s="48"/>
      <c r="AK20" s="48"/>
      <c r="AL20" s="48"/>
      <c r="AM20" s="45"/>
      <c r="AN20" s="45"/>
      <c r="AO20" s="45"/>
      <c r="AP20" s="45"/>
      <c r="AQ20" s="45"/>
      <c r="AR20" s="45"/>
      <c r="AS20" s="47"/>
      <c r="AT20" s="47"/>
      <c r="AU20" s="47"/>
      <c r="AV20" s="47"/>
      <c r="AW20" s="47"/>
      <c r="AX20" s="47"/>
      <c r="AY20" s="47"/>
      <c r="AZ20" s="47"/>
      <c r="BA20" s="47"/>
      <c r="BB20" s="47"/>
      <c r="BC20" s="47"/>
      <c r="BD20" s="47"/>
      <c r="BE20" s="47"/>
      <c r="BF20" s="47"/>
      <c r="BG20" s="47"/>
      <c r="BH20" s="47"/>
      <c r="BI20" s="47"/>
      <c r="BJ20" s="47"/>
      <c r="BK20" s="47"/>
      <c r="BL20" s="47"/>
      <c r="BM20" s="47"/>
      <c r="BN20" s="47"/>
      <c r="BO20" s="47"/>
      <c r="BP20" s="47"/>
      <c r="BQ20" s="47"/>
      <c r="BR20" s="47"/>
      <c r="BS20" s="47"/>
      <c r="BT20" s="47"/>
      <c r="BU20" s="47"/>
      <c r="BV20" s="47"/>
      <c r="BW20" s="47"/>
      <c r="BX20" s="47"/>
      <c r="BY20" s="47"/>
      <c r="BZ20" s="47"/>
      <c r="CA20" s="47"/>
      <c r="CB20" s="47"/>
      <c r="CC20" s="47"/>
      <c r="CD20" s="47"/>
      <c r="CE20" s="47"/>
    </row>
    <row r="21" spans="1:83" ht="21" customHeight="1">
      <c r="A21" s="24"/>
      <c r="B21" s="33">
        <v>2</v>
      </c>
      <c r="C21" s="34" t="s">
        <v>76</v>
      </c>
      <c r="D21" s="49"/>
      <c r="E21" s="50"/>
      <c r="F21" s="50"/>
      <c r="G21" s="49"/>
      <c r="H21" s="35"/>
      <c r="I21" s="51"/>
      <c r="J21" s="52"/>
      <c r="K21" s="28"/>
      <c r="L21" s="28"/>
      <c r="M21" s="51"/>
      <c r="N21" s="51"/>
      <c r="O21" s="52"/>
      <c r="P21" s="28"/>
      <c r="Q21" s="28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51"/>
      <c r="AQ21" s="51"/>
      <c r="AR21" s="51"/>
      <c r="AS21" s="51"/>
      <c r="AT21" s="51"/>
      <c r="AU21" s="51"/>
      <c r="AV21" s="51"/>
      <c r="AW21" s="51"/>
      <c r="AX21" s="51"/>
      <c r="AY21" s="51"/>
      <c r="AZ21" s="51"/>
      <c r="BA21" s="51"/>
      <c r="BB21" s="51"/>
      <c r="BC21" s="51"/>
      <c r="BD21" s="51"/>
      <c r="BE21" s="51"/>
      <c r="BF21" s="51"/>
      <c r="BG21" s="51"/>
      <c r="BH21" s="51"/>
      <c r="BI21" s="51"/>
      <c r="BJ21" s="51"/>
      <c r="BK21" s="51"/>
      <c r="BL21" s="51"/>
      <c r="BM21" s="51"/>
      <c r="BN21" s="51"/>
      <c r="BO21" s="51"/>
      <c r="BP21" s="51"/>
      <c r="BQ21" s="51"/>
      <c r="BR21" s="51"/>
      <c r="BS21" s="51"/>
      <c r="BT21" s="51"/>
      <c r="BU21" s="51"/>
      <c r="BV21" s="51"/>
      <c r="BW21" s="51"/>
      <c r="BX21" s="51"/>
      <c r="BY21" s="51"/>
      <c r="BZ21" s="51"/>
      <c r="CA21" s="51"/>
      <c r="CB21" s="51"/>
      <c r="CC21" s="51"/>
      <c r="CD21" s="51"/>
      <c r="CE21" s="51"/>
    </row>
    <row r="22" spans="1:83" ht="17.25" customHeight="1" outlineLevel="1">
      <c r="A22" s="38"/>
      <c r="B22" s="39">
        <v>2.1</v>
      </c>
      <c r="C22" s="60" t="s">
        <v>77</v>
      </c>
      <c r="D22" s="41" t="s">
        <v>78</v>
      </c>
      <c r="E22" s="42" t="s">
        <v>79</v>
      </c>
      <c r="F22" s="42" t="s">
        <v>80</v>
      </c>
      <c r="G22" s="41">
        <v>3</v>
      </c>
      <c r="H22" s="43">
        <v>0</v>
      </c>
      <c r="I22" s="53"/>
      <c r="J22" s="54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55"/>
      <c r="AN22" s="55"/>
      <c r="AO22" s="55"/>
      <c r="AP22" s="46"/>
      <c r="AQ22" s="46"/>
      <c r="AR22" s="46"/>
      <c r="AS22" s="46"/>
      <c r="AT22" s="46"/>
      <c r="AU22" s="46"/>
      <c r="AV22" s="46"/>
      <c r="AW22" s="46"/>
      <c r="AX22" s="46"/>
      <c r="AY22" s="46"/>
      <c r="AZ22" s="46"/>
      <c r="BA22" s="46"/>
      <c r="BB22" s="46"/>
      <c r="BC22" s="46"/>
      <c r="BD22" s="46"/>
      <c r="BE22" s="46"/>
      <c r="BF22" s="46"/>
      <c r="BG22" s="46"/>
      <c r="BH22" s="46"/>
      <c r="BI22" s="46"/>
      <c r="BJ22" s="46"/>
      <c r="BK22" s="46"/>
      <c r="BL22" s="46"/>
      <c r="BM22" s="46"/>
      <c r="BN22" s="46"/>
      <c r="BO22" s="46"/>
      <c r="BP22" s="46"/>
      <c r="BQ22" s="46"/>
      <c r="BR22" s="46"/>
      <c r="BS22" s="46"/>
      <c r="BT22" s="46"/>
      <c r="BU22" s="46"/>
      <c r="BV22" s="46"/>
      <c r="BW22" s="46"/>
      <c r="BX22" s="46"/>
      <c r="BY22" s="46"/>
      <c r="BZ22" s="46"/>
      <c r="CA22" s="46"/>
      <c r="CB22" s="46"/>
      <c r="CC22" s="46"/>
      <c r="CD22" s="46"/>
      <c r="CE22" s="46"/>
    </row>
    <row r="23" spans="1:83" ht="12.75" outlineLevel="1">
      <c r="A23" s="38"/>
      <c r="B23" s="39">
        <v>2.2000000000000002</v>
      </c>
      <c r="C23" s="64" t="s">
        <v>81</v>
      </c>
      <c r="D23" s="41" t="s">
        <v>65</v>
      </c>
      <c r="E23" s="42" t="s">
        <v>82</v>
      </c>
      <c r="F23" s="42" t="s">
        <v>83</v>
      </c>
      <c r="G23" s="41">
        <v>2</v>
      </c>
      <c r="H23" s="56">
        <v>0</v>
      </c>
      <c r="I23" s="57"/>
      <c r="J23" s="58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7"/>
      <c r="AE23" s="47"/>
      <c r="AF23" s="47"/>
      <c r="AG23" s="47"/>
      <c r="AH23" s="47"/>
      <c r="AI23" s="47"/>
      <c r="AJ23" s="47"/>
      <c r="AK23" s="47"/>
      <c r="AL23" s="47"/>
      <c r="AM23" s="46"/>
      <c r="AN23" s="46"/>
      <c r="AO23" s="46"/>
      <c r="AP23" s="59"/>
      <c r="AQ23" s="59"/>
      <c r="AR23" s="46"/>
      <c r="AS23" s="46"/>
      <c r="AT23" s="46"/>
      <c r="AU23" s="46"/>
      <c r="AV23" s="46"/>
      <c r="AW23" s="46"/>
      <c r="AX23" s="46"/>
      <c r="AY23" s="46"/>
      <c r="AZ23" s="46"/>
      <c r="BA23" s="46"/>
      <c r="BB23" s="46"/>
      <c r="BC23" s="47"/>
      <c r="BD23" s="47"/>
      <c r="BE23" s="47"/>
      <c r="BF23" s="47"/>
      <c r="BG23" s="47"/>
      <c r="BH23" s="47"/>
      <c r="BI23" s="47"/>
      <c r="BJ23" s="47"/>
      <c r="BK23" s="47"/>
      <c r="BL23" s="47"/>
      <c r="BM23" s="47"/>
      <c r="BN23" s="47"/>
      <c r="BO23" s="47"/>
      <c r="BP23" s="47"/>
      <c r="BQ23" s="47"/>
      <c r="BR23" s="47"/>
      <c r="BS23" s="47"/>
      <c r="BT23" s="47"/>
      <c r="BU23" s="47"/>
      <c r="BV23" s="47"/>
      <c r="BW23" s="47"/>
      <c r="BX23" s="47"/>
      <c r="BY23" s="47"/>
      <c r="BZ23" s="47"/>
      <c r="CA23" s="47"/>
      <c r="CB23" s="47"/>
      <c r="CC23" s="47"/>
      <c r="CD23" s="47"/>
      <c r="CE23" s="47"/>
    </row>
    <row r="24" spans="1:83" ht="17.25" customHeight="1" outlineLevel="1">
      <c r="A24" s="38"/>
      <c r="B24" s="39">
        <v>2.2999999999999998</v>
      </c>
      <c r="C24" s="62" t="s">
        <v>84</v>
      </c>
      <c r="D24" s="41" t="s">
        <v>85</v>
      </c>
      <c r="E24" s="42" t="s">
        <v>86</v>
      </c>
      <c r="F24" s="42" t="s">
        <v>87</v>
      </c>
      <c r="G24" s="41">
        <v>10</v>
      </c>
      <c r="H24" s="43">
        <v>0</v>
      </c>
      <c r="I24" s="57"/>
      <c r="J24" s="58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6"/>
      <c r="AN24" s="46"/>
      <c r="AO24" s="46"/>
      <c r="AP24" s="46"/>
      <c r="AQ24" s="46"/>
      <c r="AR24" s="59"/>
      <c r="AS24" s="59"/>
      <c r="AT24" s="59"/>
      <c r="AU24" s="59"/>
      <c r="AV24" s="59"/>
      <c r="AW24" s="59"/>
      <c r="AX24" s="59"/>
      <c r="AY24" s="59"/>
      <c r="AZ24" s="59"/>
      <c r="BA24" s="59"/>
      <c r="BB24" s="46"/>
      <c r="BC24" s="47"/>
      <c r="BD24" s="47"/>
      <c r="BE24" s="47"/>
      <c r="BF24" s="47"/>
      <c r="BG24" s="47"/>
      <c r="BH24" s="47"/>
      <c r="BI24" s="47"/>
      <c r="BJ24" s="47"/>
      <c r="BK24" s="47"/>
      <c r="BL24" s="47"/>
      <c r="BM24" s="47"/>
      <c r="BN24" s="47"/>
      <c r="BO24" s="47"/>
      <c r="BP24" s="47"/>
      <c r="BQ24" s="47"/>
      <c r="BR24" s="47"/>
      <c r="BS24" s="47"/>
      <c r="BT24" s="47"/>
      <c r="BU24" s="47"/>
      <c r="BV24" s="47"/>
      <c r="BW24" s="47"/>
      <c r="BX24" s="47"/>
      <c r="BY24" s="47"/>
      <c r="BZ24" s="47"/>
      <c r="CA24" s="47"/>
      <c r="CB24" s="47"/>
      <c r="CC24" s="47"/>
      <c r="CD24" s="47"/>
      <c r="CE24" s="47"/>
    </row>
    <row r="25" spans="1:83" ht="21" customHeight="1">
      <c r="A25" s="24"/>
      <c r="B25" s="33">
        <v>3</v>
      </c>
      <c r="C25" s="34" t="s">
        <v>88</v>
      </c>
      <c r="D25" s="49"/>
      <c r="E25" s="50"/>
      <c r="F25" s="50"/>
      <c r="G25" s="49"/>
      <c r="H25" s="35"/>
      <c r="I25" s="51"/>
      <c r="J25" s="52"/>
      <c r="K25" s="28"/>
      <c r="L25" s="28"/>
      <c r="M25" s="51"/>
      <c r="N25" s="51"/>
      <c r="O25" s="52"/>
      <c r="P25" s="28"/>
      <c r="Q25" s="28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  <c r="AR25" s="51"/>
      <c r="AS25" s="51"/>
      <c r="AT25" s="51"/>
      <c r="AU25" s="51"/>
      <c r="AV25" s="51"/>
      <c r="AW25" s="51"/>
      <c r="AX25" s="51"/>
      <c r="AY25" s="51"/>
      <c r="AZ25" s="51"/>
      <c r="BA25" s="51"/>
      <c r="BB25" s="51"/>
      <c r="BC25" s="51"/>
      <c r="BD25" s="51"/>
      <c r="BE25" s="51"/>
      <c r="BF25" s="51"/>
      <c r="BG25" s="51"/>
      <c r="BH25" s="51"/>
      <c r="BI25" s="51"/>
      <c r="BJ25" s="51"/>
      <c r="BK25" s="51"/>
      <c r="BL25" s="51"/>
      <c r="BM25" s="51"/>
      <c r="BN25" s="51"/>
      <c r="BO25" s="51"/>
      <c r="BP25" s="51"/>
      <c r="BQ25" s="51"/>
      <c r="BR25" s="51"/>
      <c r="BS25" s="51"/>
      <c r="BT25" s="51"/>
      <c r="BU25" s="51"/>
      <c r="BV25" s="51"/>
      <c r="BW25" s="51"/>
      <c r="BX25" s="51"/>
      <c r="BY25" s="51"/>
      <c r="BZ25" s="51"/>
      <c r="CA25" s="51"/>
      <c r="CB25" s="51"/>
      <c r="CC25" s="51"/>
      <c r="CD25" s="51"/>
      <c r="CE25" s="51"/>
    </row>
    <row r="26" spans="1:83" ht="17.25" customHeight="1" outlineLevel="1">
      <c r="A26" s="38"/>
      <c r="B26" s="39">
        <v>3.1</v>
      </c>
      <c r="C26" s="60" t="s">
        <v>89</v>
      </c>
      <c r="D26" s="41" t="s">
        <v>69</v>
      </c>
      <c r="E26" s="42" t="s">
        <v>90</v>
      </c>
      <c r="F26" s="42" t="s">
        <v>91</v>
      </c>
      <c r="G26" s="41">
        <v>10</v>
      </c>
      <c r="H26" s="43">
        <v>0</v>
      </c>
      <c r="I26" s="53"/>
      <c r="J26" s="54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6"/>
      <c r="AO26" s="46"/>
      <c r="AP26" s="46"/>
      <c r="AQ26" s="46"/>
      <c r="AR26" s="46"/>
      <c r="AS26" s="46"/>
      <c r="AT26" s="46"/>
      <c r="AU26" s="46"/>
      <c r="AV26" s="46"/>
      <c r="AW26" s="46"/>
      <c r="AX26" s="46"/>
      <c r="AY26" s="46"/>
      <c r="AZ26" s="46"/>
      <c r="BA26" s="46"/>
      <c r="BB26" s="61"/>
      <c r="BC26" s="61"/>
      <c r="BD26" s="61"/>
      <c r="BE26" s="61"/>
      <c r="BF26" s="61"/>
      <c r="BG26" s="61"/>
      <c r="BH26" s="61"/>
      <c r="BI26" s="61"/>
      <c r="BJ26" s="61"/>
      <c r="BK26" s="61"/>
      <c r="BL26" s="46"/>
      <c r="BM26" s="46"/>
      <c r="BN26" s="46"/>
      <c r="BO26" s="46"/>
      <c r="BP26" s="46"/>
      <c r="BQ26" s="46"/>
      <c r="BR26" s="46"/>
      <c r="BS26" s="46"/>
      <c r="BT26" s="46"/>
      <c r="BU26" s="46"/>
      <c r="BV26" s="46"/>
      <c r="BW26" s="46"/>
      <c r="BX26" s="46"/>
      <c r="BY26" s="46"/>
      <c r="BZ26" s="46"/>
      <c r="CA26" s="46"/>
      <c r="CB26" s="46"/>
      <c r="CC26" s="46"/>
      <c r="CD26" s="46"/>
      <c r="CE26" s="46"/>
    </row>
    <row r="27" spans="1:83" ht="12.75" outlineLevel="1">
      <c r="A27" s="38"/>
      <c r="B27" s="39">
        <v>3.2</v>
      </c>
      <c r="C27" s="62" t="s">
        <v>92</v>
      </c>
      <c r="D27" s="41" t="s">
        <v>93</v>
      </c>
      <c r="E27" s="42" t="s">
        <v>94</v>
      </c>
      <c r="F27" s="42" t="s">
        <v>95</v>
      </c>
      <c r="G27" s="41">
        <v>20</v>
      </c>
      <c r="H27" s="43">
        <v>0</v>
      </c>
      <c r="I27" s="57"/>
      <c r="J27" s="58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7"/>
      <c r="AL27" s="47"/>
      <c r="AM27" s="47"/>
      <c r="AN27" s="47"/>
      <c r="AO27" s="47"/>
      <c r="AP27" s="47"/>
      <c r="AQ27" s="47"/>
      <c r="AR27" s="47"/>
      <c r="AS27" s="47"/>
      <c r="AT27" s="47"/>
      <c r="AU27" s="47"/>
      <c r="AV27" s="47"/>
      <c r="AW27" s="47"/>
      <c r="AX27" s="47"/>
      <c r="AY27" s="47"/>
      <c r="AZ27" s="47"/>
      <c r="BA27" s="47"/>
      <c r="BB27" s="47"/>
      <c r="BC27" s="47"/>
      <c r="BD27" s="47"/>
      <c r="BE27" s="47"/>
      <c r="BF27" s="47"/>
      <c r="BG27" s="47"/>
      <c r="BH27" s="47"/>
      <c r="BI27" s="47"/>
      <c r="BJ27" s="47"/>
      <c r="BK27" s="47"/>
      <c r="BL27" s="63"/>
      <c r="BM27" s="63"/>
      <c r="BN27" s="63"/>
      <c r="BO27" s="63"/>
      <c r="BP27" s="63"/>
      <c r="BQ27" s="63"/>
      <c r="BR27" s="63"/>
      <c r="BS27" s="63"/>
      <c r="BT27" s="63"/>
      <c r="BU27" s="63"/>
      <c r="BV27" s="46"/>
      <c r="BW27" s="46"/>
      <c r="BX27" s="46"/>
      <c r="BY27" s="46"/>
      <c r="BZ27" s="46"/>
      <c r="CA27" s="46"/>
      <c r="CB27" s="46"/>
      <c r="CC27" s="46"/>
      <c r="CD27" s="46"/>
      <c r="CE27" s="46"/>
    </row>
    <row r="28" spans="1:83" ht="17.25" customHeight="1" outlineLevel="1">
      <c r="A28" s="38"/>
      <c r="B28" s="39">
        <v>3.3</v>
      </c>
      <c r="C28" s="64" t="s">
        <v>96</v>
      </c>
      <c r="D28" s="41" t="s">
        <v>93</v>
      </c>
      <c r="E28" s="42" t="s">
        <v>97</v>
      </c>
      <c r="F28" s="42" t="s">
        <v>98</v>
      </c>
      <c r="G28" s="41">
        <v>10</v>
      </c>
      <c r="H28" s="43">
        <v>0</v>
      </c>
      <c r="I28" s="57"/>
      <c r="J28" s="58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47"/>
      <c r="AE28" s="47"/>
      <c r="AF28" s="47"/>
      <c r="AG28" s="47"/>
      <c r="AH28" s="47"/>
      <c r="AI28" s="47"/>
      <c r="AJ28" s="47"/>
      <c r="AK28" s="47"/>
      <c r="AL28" s="47"/>
      <c r="AM28" s="47"/>
      <c r="AN28" s="47"/>
      <c r="AO28" s="47"/>
      <c r="AP28" s="47"/>
      <c r="AQ28" s="47"/>
      <c r="AR28" s="47"/>
      <c r="AS28" s="47"/>
      <c r="AT28" s="47"/>
      <c r="AU28" s="47"/>
      <c r="AV28" s="47"/>
      <c r="AW28" s="47"/>
      <c r="AX28" s="47"/>
      <c r="AY28" s="47"/>
      <c r="AZ28" s="47"/>
      <c r="BA28" s="47"/>
      <c r="BB28" s="47"/>
      <c r="BC28" s="47"/>
      <c r="BD28" s="47"/>
      <c r="BE28" s="47"/>
      <c r="BF28" s="47"/>
      <c r="BG28" s="47"/>
      <c r="BH28" s="47"/>
      <c r="BI28" s="47"/>
      <c r="BJ28" s="47"/>
      <c r="BK28" s="47"/>
      <c r="BL28" s="47"/>
      <c r="BM28" s="47"/>
      <c r="BN28" s="47"/>
      <c r="BO28" s="47"/>
      <c r="BP28" s="47"/>
      <c r="BQ28" s="46"/>
      <c r="BR28" s="46"/>
      <c r="BS28" s="46"/>
      <c r="BT28" s="46"/>
      <c r="BU28" s="46"/>
      <c r="BV28" s="63"/>
      <c r="BW28" s="63"/>
      <c r="BX28" s="63"/>
      <c r="BY28" s="63"/>
      <c r="BZ28" s="63"/>
      <c r="CA28" s="63"/>
      <c r="CB28" s="63"/>
      <c r="CC28" s="63"/>
      <c r="CD28" s="63"/>
      <c r="CE28" s="63"/>
    </row>
    <row r="29" spans="1:83" ht="12.75"/>
    <row r="30" spans="1:83" ht="12.75"/>
    <row r="31" spans="1:83" ht="12.75"/>
    <row r="32" spans="1:83" ht="12.75"/>
    <row r="33" ht="12.75"/>
    <row r="34" ht="12.75"/>
    <row r="35" ht="12.75"/>
    <row r="36" ht="12.75"/>
    <row r="37" ht="12.75"/>
    <row r="38" ht="12.75"/>
    <row r="39" ht="12.75"/>
    <row r="40" ht="12.75"/>
    <row r="41" ht="12.75"/>
    <row r="42" ht="12.75"/>
    <row r="43" ht="12.75"/>
    <row r="44" ht="12.75"/>
    <row r="45" ht="12.75"/>
    <row r="46" ht="12.75"/>
    <row r="47" ht="12.75"/>
    <row r="48" ht="12.75"/>
    <row r="49" ht="12.75"/>
    <row r="50" ht="12.75"/>
    <row r="51" ht="12.75"/>
    <row r="52" ht="12.75"/>
    <row r="53" ht="12.75"/>
    <row r="54" ht="12.75"/>
    <row r="55" ht="12.75"/>
    <row r="56" ht="12.75"/>
    <row r="57" ht="12.75"/>
    <row r="58" ht="12.75"/>
    <row r="59" ht="12.75"/>
    <row r="60" ht="12.75"/>
    <row r="61" ht="12.75"/>
    <row r="62" ht="12.75"/>
    <row r="63" ht="12.75"/>
    <row r="64" ht="12.75"/>
    <row r="65" ht="12.75"/>
    <row r="66" ht="12.75"/>
    <row r="67" ht="12.75"/>
    <row r="68" ht="12.75"/>
    <row r="69" ht="12.75"/>
    <row r="70" ht="12.75"/>
    <row r="71" ht="12.75"/>
    <row r="72" ht="12.75"/>
    <row r="73" ht="12.75"/>
    <row r="74" ht="12.75"/>
    <row r="75" ht="12.75"/>
    <row r="76" ht="12.75"/>
    <row r="77" ht="12.75"/>
    <row r="78" ht="12.75"/>
    <row r="79" ht="12.75"/>
    <row r="80" ht="12.75"/>
    <row r="81" ht="12.75"/>
    <row r="82" ht="12.75"/>
    <row r="83" ht="12.75"/>
    <row r="84" ht="12.75"/>
    <row r="85" ht="12.75"/>
    <row r="86" ht="12.75"/>
    <row r="87" ht="12.75"/>
    <row r="88" ht="12.75"/>
    <row r="89" ht="12.75"/>
    <row r="90" ht="12.75"/>
    <row r="91" ht="12.75"/>
    <row r="92" ht="12.75"/>
    <row r="93" ht="12.75"/>
    <row r="94" ht="12.75"/>
    <row r="95" ht="12.75"/>
    <row r="96" ht="12.75"/>
    <row r="97" ht="12.75"/>
    <row r="98" ht="12.75"/>
    <row r="99" ht="12.75"/>
    <row r="100" ht="12.75"/>
    <row r="101" ht="12.75"/>
    <row r="102" ht="12.75"/>
    <row r="103" ht="12.75"/>
    <row r="104" ht="12.75"/>
    <row r="105" ht="12.75"/>
    <row r="106" ht="12.75"/>
    <row r="107" ht="12.75"/>
    <row r="108" ht="12.75"/>
    <row r="109" ht="12.75"/>
    <row r="110" ht="12.75"/>
    <row r="111" ht="12.75"/>
    <row r="112" ht="12.75"/>
    <row r="113" ht="12.75"/>
    <row r="114" ht="12.75"/>
    <row r="115" ht="12.75"/>
    <row r="116" ht="12.75"/>
    <row r="117" ht="12.75"/>
    <row r="118" ht="12.75"/>
    <row r="119" ht="12.75"/>
    <row r="120" ht="12.75"/>
    <row r="121" ht="12.75"/>
    <row r="122" ht="12.75"/>
    <row r="123" ht="12.75"/>
    <row r="124" ht="12.75"/>
    <row r="125" ht="12.75"/>
    <row r="126" ht="12.75"/>
    <row r="127" ht="12.75"/>
    <row r="128" ht="12.75"/>
    <row r="129" ht="12.75"/>
    <row r="130" ht="12.75"/>
    <row r="131" ht="12.75"/>
    <row r="132" ht="12.75"/>
    <row r="133" ht="12.75"/>
    <row r="134" ht="12.75"/>
    <row r="135" ht="12.75"/>
    <row r="136" ht="12.75"/>
    <row r="137" ht="12.75"/>
    <row r="138" ht="12.75"/>
    <row r="139" ht="12.75"/>
    <row r="140" ht="12.75"/>
    <row r="141" ht="12.75"/>
    <row r="142" ht="12.75"/>
    <row r="143" ht="12.75"/>
    <row r="144" ht="12.75"/>
    <row r="145" ht="12.75"/>
    <row r="146" ht="12.75"/>
    <row r="147" ht="12.75"/>
    <row r="148" ht="12.75"/>
    <row r="149" ht="12.75"/>
    <row r="150" ht="12.75"/>
    <row r="151" ht="12.75"/>
    <row r="152" ht="12.75"/>
    <row r="153" ht="12.75"/>
    <row r="154" ht="12.75"/>
    <row r="155" ht="12.75"/>
    <row r="156" ht="12.75"/>
    <row r="157" ht="12.75"/>
    <row r="158" ht="12.75"/>
    <row r="159" ht="12.75"/>
    <row r="160" ht="12.75"/>
    <row r="161" ht="12.75"/>
    <row r="162" ht="12.75"/>
    <row r="163" ht="12.75"/>
    <row r="164" ht="12.75"/>
    <row r="165" ht="12.75"/>
    <row r="166" ht="12.75"/>
    <row r="167" ht="12.75"/>
    <row r="168" ht="12.75"/>
    <row r="169" ht="12.75"/>
    <row r="170" ht="12.75"/>
    <row r="171" ht="12.75"/>
    <row r="172" ht="12.75"/>
    <row r="173" ht="12.75"/>
    <row r="174" ht="12.75"/>
    <row r="175" ht="12.75"/>
    <row r="176" ht="12.75"/>
    <row r="177" ht="12.75"/>
    <row r="178" ht="12.75"/>
    <row r="179" ht="12.75"/>
    <row r="180" ht="12.75"/>
    <row r="181" ht="12.75"/>
    <row r="182" ht="12.75"/>
    <row r="183" ht="12.75"/>
    <row r="184" ht="12.75"/>
    <row r="185" ht="12.75"/>
    <row r="186" ht="12.75"/>
    <row r="187" ht="12.75"/>
    <row r="188" ht="12.75"/>
    <row r="189" ht="12.75"/>
    <row r="190" ht="12.75"/>
    <row r="191" ht="12.75"/>
    <row r="192" ht="12.75"/>
    <row r="193" ht="12.75"/>
    <row r="194" ht="12.75"/>
    <row r="195" ht="12.75"/>
    <row r="196" ht="12.75"/>
    <row r="197" ht="12.75"/>
    <row r="198" ht="12.75"/>
    <row r="199" ht="12.75"/>
    <row r="200" ht="12.75"/>
    <row r="201" ht="12.75"/>
    <row r="202" ht="12.75"/>
    <row r="203" ht="12.75"/>
    <row r="204" ht="12.75"/>
    <row r="205" ht="12.75"/>
    <row r="206" ht="12.75"/>
    <row r="207" ht="12.75"/>
    <row r="208" ht="12.75"/>
    <row r="209" ht="12.75"/>
    <row r="210" ht="12.75"/>
    <row r="211" ht="12.75"/>
    <row r="212" ht="12.75"/>
    <row r="213" ht="12.75"/>
    <row r="214" ht="12.75"/>
    <row r="215" ht="12.75"/>
    <row r="216" ht="12.75"/>
    <row r="217" ht="12.75"/>
    <row r="218" ht="12.75"/>
    <row r="219" ht="12.75"/>
    <row r="220" ht="12.75"/>
    <row r="221" ht="12.75"/>
    <row r="222" ht="12.75"/>
    <row r="223" ht="12.75"/>
    <row r="224" ht="12.75"/>
    <row r="225" ht="12.75"/>
    <row r="226" ht="12.75"/>
    <row r="227" ht="12.75"/>
    <row r="228" ht="12.75"/>
    <row r="229" ht="12.75"/>
    <row r="230" ht="12.75"/>
    <row r="231" ht="12.75"/>
    <row r="232" ht="12.75"/>
    <row r="233" ht="12.75"/>
    <row r="234" ht="12.75"/>
    <row r="235" ht="12.75"/>
    <row r="236" ht="12.75"/>
    <row r="237" ht="12.75"/>
    <row r="238" ht="12.75"/>
    <row r="239" ht="12.75"/>
    <row r="240" ht="12.75"/>
    <row r="241" ht="12.75"/>
    <row r="242" ht="12.75"/>
    <row r="243" ht="12.75"/>
    <row r="244" ht="12.75"/>
    <row r="245" ht="12.75"/>
    <row r="246" ht="12.75"/>
    <row r="247" ht="12.75"/>
    <row r="248" ht="12.75"/>
    <row r="249" ht="12.75"/>
    <row r="250" ht="12.75"/>
    <row r="251" ht="12.75"/>
    <row r="252" ht="12.75"/>
    <row r="253" ht="12.75"/>
    <row r="254" ht="12.75"/>
    <row r="255" ht="12.75"/>
    <row r="256" ht="12.75"/>
    <row r="257" ht="12.75"/>
    <row r="258" ht="12.75"/>
    <row r="259" ht="12.75"/>
    <row r="260" ht="12.75"/>
    <row r="261" ht="12.75"/>
    <row r="262" ht="12.75"/>
    <row r="263" ht="12.75"/>
    <row r="264" ht="12.75"/>
    <row r="265" ht="12.75"/>
    <row r="266" ht="12.75"/>
    <row r="267" ht="12.75"/>
    <row r="268" ht="12.75"/>
    <row r="269" ht="12.75"/>
    <row r="270" ht="12.75"/>
    <row r="271" ht="12.75"/>
    <row r="272" ht="12.75"/>
    <row r="273" ht="12.75"/>
    <row r="274" ht="12.75"/>
    <row r="275" ht="12.75"/>
    <row r="276" ht="12.75"/>
    <row r="277" ht="12.75"/>
    <row r="278" ht="12.75"/>
    <row r="279" ht="12.75"/>
    <row r="280" ht="12.75"/>
    <row r="281" ht="12.75"/>
    <row r="282" ht="12.75"/>
    <row r="283" ht="12.75"/>
    <row r="284" ht="12.75"/>
    <row r="285" ht="12.75"/>
    <row r="286" ht="12.75"/>
    <row r="287" ht="12.75"/>
    <row r="288" ht="12.75"/>
    <row r="289" ht="12.75"/>
    <row r="290" ht="12.75"/>
    <row r="291" ht="12.75"/>
    <row r="292" ht="12.75"/>
    <row r="293" ht="12.75"/>
    <row r="294" ht="12.75"/>
    <row r="295" ht="12.75"/>
    <row r="296" ht="12.75"/>
    <row r="297" ht="12.75"/>
    <row r="298" ht="12.75"/>
    <row r="299" ht="12.75"/>
    <row r="300" ht="12.75"/>
    <row r="301" ht="12.75"/>
    <row r="302" ht="12.75"/>
    <row r="303" ht="12.75"/>
    <row r="304" ht="12.75"/>
    <row r="305" ht="12.75"/>
    <row r="306" ht="12.75"/>
    <row r="307" ht="12.75"/>
    <row r="308" ht="12.75"/>
    <row r="309" ht="12.75"/>
    <row r="310" ht="12.75"/>
    <row r="311" ht="12.75"/>
    <row r="312" ht="12.75"/>
    <row r="313" ht="12.75"/>
    <row r="314" ht="12.75"/>
    <row r="315" ht="12.75"/>
    <row r="316" ht="12.75"/>
    <row r="317" ht="12.75"/>
    <row r="318" ht="12.75"/>
    <row r="319" ht="12.75"/>
    <row r="320" ht="12.75"/>
    <row r="321" ht="12.75"/>
    <row r="322" ht="12.75"/>
    <row r="323" ht="12.75"/>
    <row r="324" ht="12.75"/>
    <row r="325" ht="12.75"/>
    <row r="326" ht="12.75"/>
    <row r="327" ht="12.75"/>
    <row r="328" ht="12.75"/>
    <row r="329" ht="12.75"/>
    <row r="330" ht="12.75"/>
    <row r="331" ht="12.75"/>
    <row r="332" ht="12.75"/>
    <row r="333" ht="12.75"/>
    <row r="334" ht="12.75"/>
    <row r="335" ht="12.75"/>
    <row r="336" ht="12.75"/>
    <row r="337" ht="12.75"/>
    <row r="338" ht="12.75"/>
    <row r="339" ht="12.75"/>
    <row r="340" ht="12.75"/>
    <row r="341" ht="12.75"/>
    <row r="342" ht="12.75"/>
    <row r="343" ht="12.75"/>
    <row r="344" ht="12.75"/>
    <row r="345" ht="12.75"/>
    <row r="346" ht="12.75"/>
    <row r="347" ht="12.75"/>
    <row r="348" ht="12.75"/>
    <row r="349" ht="12.75"/>
    <row r="350" ht="12.75"/>
    <row r="351" ht="12.75"/>
    <row r="352" ht="12.75"/>
    <row r="353" ht="12.75"/>
    <row r="354" ht="12.75"/>
    <row r="355" ht="12.75"/>
    <row r="356" ht="12.75"/>
    <row r="357" ht="12.75"/>
    <row r="358" ht="12.75"/>
    <row r="359" ht="12.75"/>
    <row r="360" ht="12.75"/>
    <row r="361" ht="12.75"/>
    <row r="362" ht="12.75"/>
    <row r="363" ht="12.75"/>
    <row r="364" ht="12.75"/>
    <row r="365" ht="12.75"/>
    <row r="366" ht="12.75"/>
    <row r="367" ht="12.75"/>
    <row r="368" ht="12.75"/>
    <row r="369" ht="12.75"/>
    <row r="370" ht="12.75"/>
    <row r="371" ht="12.75"/>
    <row r="372" ht="12.75"/>
    <row r="373" ht="12.75"/>
    <row r="374" ht="12.75"/>
    <row r="375" ht="12.75"/>
    <row r="376" ht="12.75"/>
    <row r="377" ht="12.75"/>
    <row r="378" ht="12.75"/>
    <row r="379" ht="12.75"/>
    <row r="380" ht="12.75"/>
    <row r="381" ht="12.75"/>
    <row r="382" ht="12.75"/>
    <row r="383" ht="12.75"/>
    <row r="384" ht="12.75"/>
    <row r="385" ht="12.75"/>
    <row r="386" ht="12.75"/>
    <row r="387" ht="12.75"/>
    <row r="388" ht="12.75"/>
    <row r="389" ht="12.75"/>
    <row r="390" ht="12.75"/>
    <row r="391" ht="12.75"/>
    <row r="392" ht="12.75"/>
    <row r="393" ht="12.75"/>
    <row r="394" ht="12.75"/>
    <row r="395" ht="12.75"/>
    <row r="396" ht="12.75"/>
    <row r="397" ht="12.75"/>
    <row r="398" ht="12.75"/>
    <row r="399" ht="12.75"/>
    <row r="400" ht="12.75"/>
    <row r="401" ht="12.75"/>
    <row r="402" ht="12.75"/>
    <row r="403" ht="12.75"/>
    <row r="404" ht="12.75"/>
    <row r="405" ht="12.75"/>
    <row r="406" ht="12.75"/>
    <row r="407" ht="12.75"/>
    <row r="408" ht="12.75"/>
    <row r="409" ht="12.75"/>
    <row r="410" ht="12.75"/>
    <row r="411" ht="12.75"/>
    <row r="412" ht="12.75"/>
    <row r="413" ht="12.75"/>
    <row r="414" ht="12.75"/>
    <row r="415" ht="12.75"/>
    <row r="416" ht="12.75"/>
    <row r="417" ht="12.75"/>
    <row r="418" ht="12.75"/>
    <row r="419" ht="12.75"/>
    <row r="420" ht="12.75"/>
    <row r="421" ht="12.75"/>
    <row r="422" ht="12.75"/>
    <row r="423" ht="12.75"/>
    <row r="424" ht="12.75"/>
    <row r="425" ht="12.75"/>
    <row r="426" ht="12.75"/>
    <row r="427" ht="12.75"/>
    <row r="428" ht="12.75"/>
    <row r="429" ht="12.75"/>
    <row r="430" ht="12.75"/>
    <row r="431" ht="12.75"/>
    <row r="432" ht="12.75"/>
    <row r="433" ht="12.75"/>
    <row r="434" ht="12.75"/>
    <row r="435" ht="12.75"/>
    <row r="436" ht="12.75"/>
    <row r="437" ht="12.75"/>
    <row r="438" ht="12.75"/>
    <row r="439" ht="12.75"/>
    <row r="440" ht="12.75"/>
    <row r="441" ht="12.75"/>
    <row r="442" ht="12.75"/>
    <row r="443" ht="12.75"/>
    <row r="444" ht="12.75"/>
    <row r="445" ht="12.75"/>
    <row r="446" ht="12.75"/>
    <row r="447" ht="12.75"/>
    <row r="448" ht="12.75"/>
    <row r="449" ht="12.75"/>
    <row r="450" ht="12.75"/>
    <row r="451" ht="12.75"/>
    <row r="452" ht="12.75"/>
    <row r="453" ht="12.75"/>
    <row r="454" ht="12.75"/>
    <row r="455" ht="12.75"/>
    <row r="456" ht="12.75"/>
    <row r="457" ht="12.75"/>
    <row r="458" ht="12.75"/>
    <row r="459" ht="12.75"/>
    <row r="460" ht="12.75"/>
    <row r="461" ht="12.75"/>
    <row r="462" ht="12.75"/>
    <row r="463" ht="12.75"/>
    <row r="464" ht="12.75"/>
    <row r="465" ht="12.75"/>
    <row r="466" ht="12.75"/>
    <row r="467" ht="12.75"/>
    <row r="468" ht="12.75"/>
    <row r="469" ht="12.75"/>
    <row r="470" ht="12.75"/>
    <row r="471" ht="12.75"/>
    <row r="472" ht="12.75"/>
    <row r="473" ht="12.75"/>
    <row r="474" ht="12.75"/>
    <row r="475" ht="12.75"/>
    <row r="476" ht="12.75"/>
    <row r="477" ht="12.75"/>
    <row r="478" ht="12.75"/>
    <row r="479" ht="12.75"/>
    <row r="480" ht="12.75"/>
    <row r="481" ht="12.75"/>
    <row r="482" ht="12.75"/>
    <row r="483" ht="12.75"/>
    <row r="484" ht="12.75"/>
    <row r="485" ht="12.75"/>
    <row r="486" ht="12.75"/>
    <row r="487" ht="12.75"/>
    <row r="488" ht="12.75"/>
    <row r="489" ht="12.75"/>
    <row r="490" ht="12.75"/>
    <row r="491" ht="12.75"/>
    <row r="492" ht="12.75"/>
    <row r="493" ht="12.75"/>
    <row r="494" ht="12.75"/>
    <row r="495" ht="12.75"/>
    <row r="496" ht="12.75"/>
    <row r="497" ht="12.75"/>
    <row r="498" ht="12.75"/>
    <row r="499" ht="12.75"/>
    <row r="500" ht="12.75"/>
    <row r="501" ht="12.75"/>
    <row r="502" ht="12.75"/>
    <row r="503" ht="12.75"/>
    <row r="504" ht="12.75"/>
    <row r="505" ht="12.75"/>
    <row r="506" ht="12.75"/>
    <row r="507" ht="12.75"/>
    <row r="508" ht="12.75"/>
    <row r="509" ht="12.75"/>
    <row r="510" ht="12.75"/>
    <row r="511" ht="12.75"/>
    <row r="512" ht="12.75"/>
    <row r="513" ht="12.75"/>
    <row r="514" ht="12.75"/>
    <row r="515" ht="12.75"/>
    <row r="516" ht="12.75"/>
    <row r="517" ht="12.75"/>
    <row r="518" ht="12.75"/>
    <row r="519" ht="12.75"/>
    <row r="520" ht="12.75"/>
    <row r="521" ht="12.75"/>
    <row r="522" ht="12.75"/>
    <row r="523" ht="12.75"/>
    <row r="524" ht="12.75"/>
    <row r="525" ht="12.75"/>
    <row r="526" ht="12.75"/>
    <row r="527" ht="12.75"/>
    <row r="528" ht="12.75"/>
    <row r="529" ht="12.75"/>
    <row r="530" ht="12.75"/>
    <row r="531" ht="12.75"/>
    <row r="532" ht="12.75"/>
    <row r="533" ht="12.75"/>
    <row r="534" ht="12.75"/>
    <row r="535" ht="12.75"/>
    <row r="536" ht="12.75"/>
    <row r="537" ht="12.75"/>
    <row r="538" ht="12.75"/>
    <row r="539" ht="12.75"/>
    <row r="540" ht="12.75"/>
    <row r="541" ht="12.75"/>
    <row r="542" ht="12.75"/>
    <row r="543" ht="12.75"/>
    <row r="544" ht="12.75"/>
    <row r="545" ht="12.75"/>
    <row r="546" ht="12.75"/>
    <row r="547" ht="12.75"/>
    <row r="548" ht="12.75"/>
    <row r="549" ht="12.75"/>
    <row r="550" ht="12.75"/>
    <row r="551" ht="12.75"/>
    <row r="552" ht="12.75"/>
    <row r="553" ht="12.75"/>
    <row r="554" ht="12.75"/>
    <row r="555" ht="12.75"/>
    <row r="556" ht="12.75"/>
    <row r="557" ht="12.75"/>
    <row r="558" ht="12.75"/>
    <row r="559" ht="12.75"/>
    <row r="560" ht="12.75"/>
    <row r="561" ht="12.75"/>
    <row r="562" ht="12.75"/>
    <row r="563" ht="12.75"/>
    <row r="564" ht="12.75"/>
    <row r="565" ht="12.75"/>
    <row r="566" ht="12.75"/>
    <row r="567" ht="12.75"/>
    <row r="568" ht="12.75"/>
    <row r="569" ht="12.75"/>
    <row r="570" ht="12.75"/>
    <row r="571" ht="12.75"/>
    <row r="572" ht="12.75"/>
    <row r="573" ht="12.75"/>
    <row r="574" ht="12.75"/>
    <row r="575" ht="12.75"/>
    <row r="576" ht="12.75"/>
    <row r="577" ht="12.75"/>
    <row r="578" ht="12.75"/>
    <row r="579" ht="12.75"/>
    <row r="580" ht="12.75"/>
    <row r="581" ht="12.75"/>
    <row r="582" ht="12.75"/>
    <row r="583" ht="12.75"/>
    <row r="584" ht="12.75"/>
    <row r="585" ht="12.75"/>
    <row r="586" ht="12.75"/>
    <row r="587" ht="12.75"/>
    <row r="588" ht="12.75"/>
    <row r="589" ht="12.75"/>
    <row r="590" ht="12.75"/>
    <row r="591" ht="12.75"/>
    <row r="592" ht="12.75"/>
    <row r="593" ht="12.75"/>
    <row r="594" ht="12.75"/>
    <row r="595" ht="12.75"/>
    <row r="596" ht="12.75"/>
    <row r="597" ht="12.75"/>
    <row r="598" ht="12.75"/>
    <row r="599" ht="12.75"/>
    <row r="600" ht="12.75"/>
    <row r="601" ht="12.75"/>
    <row r="602" ht="12.75"/>
    <row r="603" ht="12.75"/>
    <row r="604" ht="12.75"/>
    <row r="605" ht="12.75"/>
    <row r="606" ht="12.75"/>
    <row r="607" ht="12.75"/>
    <row r="608" ht="12.75"/>
    <row r="609" ht="12.75"/>
    <row r="610" ht="12.75"/>
    <row r="611" ht="12.75"/>
    <row r="612" ht="12.75"/>
    <row r="613" ht="12.75"/>
    <row r="614" ht="12.75"/>
    <row r="615" ht="12.75"/>
    <row r="616" ht="12.75"/>
    <row r="617" ht="12.75"/>
    <row r="618" ht="12.75"/>
    <row r="619" ht="12.75"/>
    <row r="620" ht="12.75"/>
    <row r="621" ht="12.75"/>
    <row r="622" ht="12.75"/>
    <row r="623" ht="12.75"/>
    <row r="624" ht="12.75"/>
    <row r="625" ht="12.75"/>
    <row r="626" ht="12.75"/>
    <row r="627" ht="12.75"/>
    <row r="628" ht="12.75"/>
    <row r="629" ht="12.75"/>
    <row r="630" ht="12.75"/>
    <row r="631" ht="12.75"/>
    <row r="632" ht="12.75"/>
    <row r="633" ht="12.75"/>
    <row r="634" ht="12.75"/>
    <row r="635" ht="12.75"/>
    <row r="636" ht="12.75"/>
    <row r="637" ht="12.75"/>
    <row r="638" ht="12.75"/>
    <row r="639" ht="12.75"/>
    <row r="640" ht="12.75"/>
    <row r="641" ht="12.75"/>
    <row r="642" ht="12.75"/>
    <row r="643" ht="12.75"/>
    <row r="644" ht="12.75"/>
    <row r="645" ht="12.75"/>
    <row r="646" ht="12.75"/>
    <row r="647" ht="12.75"/>
    <row r="648" ht="12.75"/>
    <row r="649" ht="12.75"/>
    <row r="650" ht="12.75"/>
    <row r="651" ht="12.75"/>
    <row r="652" ht="12.75"/>
    <row r="653" ht="12.75"/>
    <row r="654" ht="12.75"/>
    <row r="655" ht="12.75"/>
    <row r="656" ht="12.75"/>
    <row r="657" ht="12.75"/>
    <row r="658" ht="12.75"/>
    <row r="659" ht="12.75"/>
    <row r="660" ht="12.75"/>
    <row r="661" ht="12.75"/>
    <row r="662" ht="12.75"/>
    <row r="663" ht="12.75"/>
    <row r="664" ht="12.75"/>
    <row r="665" ht="12.75"/>
    <row r="666" ht="12.75"/>
    <row r="667" ht="12.75"/>
    <row r="668" ht="12.75"/>
    <row r="669" ht="12.75"/>
    <row r="670" ht="12.75"/>
    <row r="671" ht="12.75"/>
    <row r="672" ht="12.75"/>
    <row r="673" ht="12.75"/>
    <row r="674" ht="12.75"/>
    <row r="675" ht="12.75"/>
    <row r="676" ht="12.75"/>
    <row r="677" ht="12.75"/>
    <row r="678" ht="12.75"/>
    <row r="679" ht="12.75"/>
    <row r="680" ht="12.75"/>
    <row r="681" ht="12.75"/>
    <row r="682" ht="12.75"/>
    <row r="683" ht="12.75"/>
    <row r="684" ht="12.75"/>
    <row r="685" ht="12.75"/>
    <row r="686" ht="12.75"/>
    <row r="687" ht="12.75"/>
    <row r="688" ht="12.75"/>
    <row r="689" ht="12.75"/>
    <row r="690" ht="12.75"/>
    <row r="691" ht="12.75"/>
    <row r="692" ht="12.75"/>
    <row r="693" ht="12.75"/>
    <row r="694" ht="12.75"/>
    <row r="695" ht="12.75"/>
    <row r="696" ht="12.75"/>
    <row r="697" ht="12.75"/>
    <row r="698" ht="12.75"/>
    <row r="699" ht="12.75"/>
    <row r="700" ht="12.75"/>
    <row r="701" ht="12.75"/>
    <row r="702" ht="12.75"/>
    <row r="703" ht="12.75"/>
    <row r="704" ht="12.75"/>
    <row r="705" ht="12.75"/>
    <row r="706" ht="12.75"/>
    <row r="707" ht="12.75"/>
    <row r="708" ht="12.75"/>
    <row r="709" ht="12.75"/>
    <row r="710" ht="12.75"/>
    <row r="711" ht="12.75"/>
    <row r="712" ht="12.75"/>
    <row r="713" ht="12.75"/>
    <row r="714" ht="12.75"/>
    <row r="715" ht="12.75"/>
    <row r="716" ht="12.75"/>
    <row r="717" ht="12.75"/>
    <row r="718" ht="12.75"/>
    <row r="719" ht="12.75"/>
    <row r="720" ht="12.75"/>
    <row r="721" ht="12.75"/>
    <row r="722" ht="12.75"/>
    <row r="723" ht="12.75"/>
    <row r="724" ht="12.75"/>
    <row r="725" ht="12.75"/>
    <row r="726" ht="12.75"/>
    <row r="727" ht="12.75"/>
    <row r="728" ht="12.75"/>
    <row r="729" ht="12.75"/>
    <row r="730" ht="12.75"/>
    <row r="731" ht="12.75"/>
    <row r="732" ht="12.75"/>
    <row r="733" ht="12.75"/>
    <row r="734" ht="12.75"/>
    <row r="735" ht="12.75"/>
    <row r="736" ht="12.75"/>
    <row r="737" ht="12.75"/>
    <row r="738" ht="12.75"/>
    <row r="739" ht="12.75"/>
    <row r="740" ht="12.75"/>
    <row r="741" ht="12.75"/>
    <row r="742" ht="12.75"/>
    <row r="743" ht="12.75"/>
    <row r="744" ht="12.75"/>
    <row r="745" ht="12.75"/>
    <row r="746" ht="12.75"/>
    <row r="747" ht="12.75"/>
    <row r="748" ht="12.75"/>
    <row r="749" ht="12.75"/>
    <row r="750" ht="12.75"/>
    <row r="751" ht="12.75"/>
    <row r="752" ht="12.75"/>
    <row r="753" ht="12.75"/>
    <row r="754" ht="12.75"/>
    <row r="755" ht="12.75"/>
    <row r="756" ht="12.75"/>
    <row r="757" ht="12.75"/>
    <row r="758" ht="12.75"/>
    <row r="759" ht="12.75"/>
    <row r="760" ht="12.75"/>
    <row r="761" ht="12.75"/>
    <row r="762" ht="12.75"/>
    <row r="763" ht="12.75"/>
    <row r="764" ht="12.75"/>
    <row r="765" ht="12.75"/>
    <row r="766" ht="12.75"/>
    <row r="767" ht="12.75"/>
    <row r="768" ht="12.75"/>
    <row r="769" ht="12.75"/>
    <row r="770" ht="12.75"/>
    <row r="771" ht="12.75"/>
    <row r="772" ht="12.75"/>
    <row r="773" ht="12.75"/>
    <row r="774" ht="12.75"/>
    <row r="775" ht="12.75"/>
    <row r="776" ht="12.75"/>
    <row r="777" ht="12.75"/>
    <row r="778" ht="12.75"/>
    <row r="779" ht="12.75"/>
    <row r="780" ht="12.75"/>
    <row r="781" ht="12.75"/>
    <row r="782" ht="12.75"/>
    <row r="783" ht="12.75"/>
    <row r="784" ht="12.75"/>
    <row r="785" ht="12.75"/>
    <row r="786" ht="12.75"/>
    <row r="787" ht="12.75"/>
    <row r="788" ht="12.75"/>
    <row r="789" ht="12.75"/>
    <row r="790" ht="12.75"/>
    <row r="791" ht="12.75"/>
    <row r="792" ht="12.75"/>
    <row r="793" ht="12.75"/>
    <row r="794" ht="12.75"/>
    <row r="795" ht="12.75"/>
    <row r="796" ht="12.75"/>
    <row r="797" ht="12.75"/>
    <row r="798" ht="12.75"/>
    <row r="799" ht="12.75"/>
    <row r="800" ht="12.75"/>
    <row r="801" ht="12.75"/>
    <row r="802" ht="12.75"/>
    <row r="803" ht="12.75"/>
    <row r="804" ht="12.75"/>
    <row r="805" ht="12.75"/>
    <row r="806" ht="12.75"/>
    <row r="807" ht="12.75"/>
    <row r="808" ht="12.75"/>
    <row r="809" ht="12.75"/>
    <row r="810" ht="12.75"/>
    <row r="811" ht="12.75"/>
    <row r="812" ht="12.75"/>
    <row r="813" ht="12.75"/>
    <row r="814" ht="12.75"/>
    <row r="815" ht="12.75"/>
    <row r="816" ht="12.75"/>
    <row r="817" ht="12.75"/>
    <row r="818" ht="12.75"/>
    <row r="819" ht="12.75"/>
    <row r="820" ht="12.75"/>
    <row r="821" ht="12.75"/>
    <row r="822" ht="12.75"/>
    <row r="823" ht="12.75"/>
    <row r="824" ht="12.75"/>
    <row r="825" ht="12.75"/>
    <row r="826" ht="12.75"/>
    <row r="827" ht="12.75"/>
    <row r="828" ht="12.75"/>
    <row r="829" ht="12.75"/>
    <row r="830" ht="12.75"/>
    <row r="831" ht="12.75"/>
    <row r="832" ht="12.75"/>
    <row r="833" ht="12.75"/>
    <row r="834" ht="12.75"/>
    <row r="835" ht="12.75"/>
    <row r="836" ht="12.75"/>
    <row r="837" ht="12.75"/>
    <row r="838" ht="12.75"/>
    <row r="839" ht="12.75"/>
    <row r="840" ht="12.75"/>
    <row r="841" ht="12.75"/>
    <row r="842" ht="12.75"/>
    <row r="843" ht="12.75"/>
    <row r="844" ht="12.75"/>
    <row r="845" ht="12.75"/>
    <row r="846" ht="12.75"/>
    <row r="847" ht="12.75"/>
    <row r="848" ht="12.75"/>
    <row r="849" ht="12.75"/>
    <row r="850" ht="12.75"/>
    <row r="851" ht="12.75"/>
    <row r="852" ht="12.75"/>
    <row r="853" ht="12.75"/>
    <row r="854" ht="12.75"/>
    <row r="855" ht="12.75"/>
    <row r="856" ht="12.75"/>
    <row r="857" ht="12.75"/>
    <row r="858" ht="12.75"/>
    <row r="859" ht="12.75"/>
    <row r="860" ht="12.75"/>
    <row r="861" ht="12.75"/>
    <row r="862" ht="12.75"/>
    <row r="863" ht="12.75"/>
    <row r="864" ht="12.75"/>
    <row r="865" ht="12.75"/>
    <row r="866" ht="12.75"/>
    <row r="867" ht="12.75"/>
    <row r="868" ht="12.75"/>
    <row r="869" ht="12.75"/>
    <row r="870" ht="12.75"/>
    <row r="871" ht="12.75"/>
    <row r="872" ht="12.75"/>
    <row r="873" ht="12.75"/>
    <row r="874" ht="12.75"/>
    <row r="875" ht="12.75"/>
    <row r="876" ht="12.75"/>
    <row r="877" ht="12.75"/>
    <row r="878" ht="12.75"/>
    <row r="879" ht="12.75"/>
    <row r="880" ht="12.75"/>
    <row r="881" ht="12.75"/>
    <row r="882" ht="12.75"/>
    <row r="883" ht="12.75"/>
    <row r="884" ht="12.75"/>
    <row r="885" ht="12.75"/>
    <row r="886" ht="12.75"/>
    <row r="887" ht="12.75"/>
    <row r="888" ht="12.75"/>
    <row r="889" ht="12.75"/>
    <row r="890" ht="12.75"/>
    <row r="891" ht="12.75"/>
    <row r="892" ht="12.75"/>
    <row r="893" ht="12.75"/>
    <row r="894" ht="12.75"/>
    <row r="895" ht="12.75"/>
    <row r="896" ht="12.75"/>
    <row r="897" ht="12.75"/>
    <row r="898" ht="12.75"/>
    <row r="899" ht="12.75"/>
    <row r="900" ht="12.75"/>
    <row r="901" ht="12.75"/>
    <row r="902" ht="12.75"/>
    <row r="903" ht="12.75"/>
    <row r="904" ht="12.75"/>
    <row r="905" ht="12.75"/>
    <row r="906" ht="12.75"/>
    <row r="907" ht="12.75"/>
    <row r="908" ht="12.75"/>
    <row r="909" ht="12.75"/>
    <row r="910" ht="12.75"/>
    <row r="911" ht="12.75"/>
    <row r="912" ht="12.75"/>
    <row r="913" ht="12.75"/>
    <row r="914" ht="12.75"/>
    <row r="915" ht="12.75"/>
    <row r="916" ht="12.75"/>
    <row r="917" ht="12.75"/>
    <row r="918" ht="12.75"/>
    <row r="919" ht="12.75"/>
    <row r="920" ht="12.75"/>
    <row r="921" ht="12.75"/>
    <row r="922" ht="12.75"/>
    <row r="923" ht="12.75"/>
    <row r="924" ht="12.75"/>
    <row r="925" ht="12.75"/>
    <row r="926" ht="12.75"/>
    <row r="927" ht="12.75"/>
    <row r="928" ht="12.75"/>
    <row r="929" ht="12.75"/>
    <row r="930" ht="12.75"/>
    <row r="931" ht="12.75"/>
    <row r="932" ht="12.75"/>
    <row r="933" ht="12.75"/>
    <row r="934" ht="12.75"/>
    <row r="935" ht="12.75"/>
    <row r="936" ht="12.75"/>
    <row r="937" ht="12.75"/>
    <row r="938" ht="12.75"/>
    <row r="939" ht="12.75"/>
    <row r="940" ht="12.75"/>
    <row r="941" ht="12.75"/>
    <row r="942" ht="12.75"/>
    <row r="943" ht="12.75"/>
    <row r="944" ht="12.75"/>
    <row r="945" ht="12.75"/>
    <row r="946" ht="12.75"/>
    <row r="947" ht="12.75"/>
    <row r="948" ht="12.75"/>
    <row r="949" ht="12.75"/>
    <row r="950" ht="12.75"/>
    <row r="951" ht="12.75"/>
    <row r="952" ht="12.75"/>
    <row r="953" ht="12.75"/>
    <row r="954" ht="12.75"/>
    <row r="955" ht="12.75"/>
    <row r="956" ht="12.75"/>
    <row r="957" ht="12.75"/>
    <row r="958" ht="12.75"/>
    <row r="959" ht="12.75"/>
    <row r="960" ht="12.75"/>
    <row r="961" ht="12.75"/>
    <row r="962" ht="12.75"/>
    <row r="963" ht="12.75"/>
    <row r="964" ht="12.75"/>
    <row r="965" ht="12.75"/>
    <row r="966" ht="12.75"/>
    <row r="967" ht="12.75"/>
    <row r="968" ht="12.75"/>
    <row r="969" ht="12.75"/>
    <row r="970" ht="12.75"/>
    <row r="971" ht="12.75"/>
    <row r="972" ht="12.75"/>
    <row r="973" ht="12.75"/>
  </sheetData>
  <mergeCells count="36">
    <mergeCell ref="CA14:CE14"/>
    <mergeCell ref="I14:M14"/>
    <mergeCell ref="N14:R14"/>
    <mergeCell ref="X14:AB14"/>
    <mergeCell ref="AC14:AG14"/>
    <mergeCell ref="AH14:AL14"/>
    <mergeCell ref="AM14:AQ14"/>
    <mergeCell ref="AR14:AV14"/>
    <mergeCell ref="AM13:BA13"/>
    <mergeCell ref="BB13:CE13"/>
    <mergeCell ref="B10:C10"/>
    <mergeCell ref="D10:G10"/>
    <mergeCell ref="I10:M10"/>
    <mergeCell ref="N10:W10"/>
    <mergeCell ref="B13:B16"/>
    <mergeCell ref="C13:C16"/>
    <mergeCell ref="D13:D16"/>
    <mergeCell ref="S14:W14"/>
    <mergeCell ref="AW14:BA14"/>
    <mergeCell ref="BB14:BF14"/>
    <mergeCell ref="BG14:BK14"/>
    <mergeCell ref="BL14:BP14"/>
    <mergeCell ref="BQ14:BU14"/>
    <mergeCell ref="BV14:BZ14"/>
    <mergeCell ref="E13:E16"/>
    <mergeCell ref="F13:F16"/>
    <mergeCell ref="G13:G16"/>
    <mergeCell ref="H13:H16"/>
    <mergeCell ref="I13:AL13"/>
    <mergeCell ref="B7:H7"/>
    <mergeCell ref="I7:M7"/>
    <mergeCell ref="S7:W7"/>
    <mergeCell ref="B9:C9"/>
    <mergeCell ref="D9:G9"/>
    <mergeCell ref="I9:M9"/>
    <mergeCell ref="N9:W9"/>
  </mergeCells>
  <conditionalFormatting sqref="H18:H20 H22:H28">
    <cfRule type="colorScale" priority="1">
      <colorScale>
        <cfvo type="min"/>
        <cfvo type="max"/>
        <color rgb="FFFFFFFF"/>
        <color rgb="FF6D9EEB"/>
      </colorScale>
    </cfRule>
  </conditionalFormatting>
  <conditionalFormatting sqref="H18:H20 H22:H28">
    <cfRule type="colorScale" priority="2">
      <colorScale>
        <cfvo type="min"/>
        <cfvo type="max"/>
        <color rgb="FF6D9EEB"/>
        <color rgb="FFFFFFFF"/>
      </colorScale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51C75"/>
  </sheetPr>
  <dimension ref="A1:AA989"/>
  <sheetViews>
    <sheetView topLeftCell="A10" workbookViewId="0">
      <selection sqref="A1:J1"/>
    </sheetView>
  </sheetViews>
  <sheetFormatPr defaultColWidth="14.42578125" defaultRowHeight="15.75" customHeight="1"/>
  <cols>
    <col min="1" max="1" width="83.42578125" customWidth="1"/>
    <col min="2" max="2" width="24.5703125" customWidth="1"/>
    <col min="3" max="3" width="12.28515625" customWidth="1"/>
    <col min="4" max="4" width="10.42578125" customWidth="1"/>
    <col min="5" max="5" width="10" customWidth="1"/>
    <col min="6" max="6" width="12.42578125" customWidth="1"/>
    <col min="7" max="7" width="18.5703125" customWidth="1"/>
    <col min="8" max="8" width="21.85546875" customWidth="1"/>
    <col min="9" max="9" width="23.28515625" customWidth="1"/>
    <col min="10" max="10" width="17.5703125" customWidth="1"/>
    <col min="11" max="11" width="4.28515625" customWidth="1"/>
    <col min="12" max="27" width="13.5703125" customWidth="1"/>
  </cols>
  <sheetData>
    <row r="1" spans="1:27" ht="42" customHeight="1">
      <c r="A1" s="136" t="s">
        <v>99</v>
      </c>
      <c r="B1" s="137"/>
      <c r="C1" s="137"/>
      <c r="D1" s="137"/>
      <c r="E1" s="137"/>
      <c r="F1" s="137"/>
      <c r="G1" s="137"/>
      <c r="H1" s="137"/>
      <c r="I1" s="137"/>
      <c r="J1" s="138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</row>
    <row r="2" spans="1:27" ht="36">
      <c r="A2" s="139"/>
      <c r="B2" s="139"/>
      <c r="C2" s="139"/>
      <c r="D2" s="139"/>
      <c r="E2" s="139"/>
      <c r="F2" s="139"/>
      <c r="G2" s="139"/>
      <c r="H2" s="140" t="s">
        <v>100</v>
      </c>
      <c r="I2" s="141" t="s">
        <v>101</v>
      </c>
      <c r="J2" s="141" t="s">
        <v>102</v>
      </c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</row>
    <row r="3" spans="1:27" ht="15">
      <c r="A3" s="65"/>
      <c r="B3" s="12"/>
      <c r="C3" s="139"/>
      <c r="D3" s="139"/>
      <c r="E3" s="139"/>
      <c r="F3" s="139"/>
      <c r="G3" s="139"/>
      <c r="H3" s="66">
        <f t="shared" ref="H3:I3" si="0">H21</f>
        <v>62000</v>
      </c>
      <c r="I3" s="67">
        <f t="shared" si="0"/>
        <v>0</v>
      </c>
      <c r="J3" s="68">
        <f>H3-I3</f>
        <v>62000</v>
      </c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</row>
    <row r="4" spans="1:27" ht="15">
      <c r="A4" s="139"/>
      <c r="B4" s="139"/>
      <c r="C4" s="139"/>
      <c r="D4" s="139"/>
      <c r="E4" s="139"/>
      <c r="F4" s="139"/>
      <c r="G4" s="139"/>
      <c r="H4" s="142"/>
      <c r="I4" s="143"/>
      <c r="J4" s="144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</row>
    <row r="5" spans="1:27" ht="14.25">
      <c r="A5" s="69"/>
      <c r="B5" s="120" t="s">
        <v>103</v>
      </c>
      <c r="C5" s="124"/>
      <c r="D5" s="125"/>
      <c r="E5" s="120" t="s">
        <v>104</v>
      </c>
      <c r="F5" s="125"/>
      <c r="G5" s="69" t="s">
        <v>105</v>
      </c>
      <c r="H5" s="145" t="s">
        <v>106</v>
      </c>
      <c r="I5" s="146" t="s">
        <v>107</v>
      </c>
      <c r="J5" s="147" t="s">
        <v>108</v>
      </c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  <c r="AA5" s="70"/>
    </row>
    <row r="6" spans="1:27" ht="25.5" customHeight="1">
      <c r="A6" s="148" t="s">
        <v>30</v>
      </c>
      <c r="B6" s="148" t="s">
        <v>109</v>
      </c>
      <c r="C6" s="148" t="s">
        <v>110</v>
      </c>
      <c r="D6" s="71" t="s">
        <v>111</v>
      </c>
      <c r="E6" s="71" t="s">
        <v>112</v>
      </c>
      <c r="F6" s="148" t="s">
        <v>113</v>
      </c>
      <c r="G6" s="71"/>
      <c r="H6" s="149"/>
      <c r="I6" s="149"/>
      <c r="J6" s="149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2"/>
    </row>
    <row r="7" spans="1:27" ht="15">
      <c r="A7" s="80" t="s">
        <v>114</v>
      </c>
      <c r="B7" s="83"/>
      <c r="C7" s="80"/>
      <c r="D7" s="80"/>
      <c r="E7" s="80"/>
      <c r="F7" s="80"/>
      <c r="G7" s="80"/>
      <c r="H7" s="150"/>
      <c r="I7" s="150"/>
      <c r="J7" s="150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</row>
    <row r="8" spans="1:27" ht="14.25">
      <c r="A8" s="83" t="s">
        <v>115</v>
      </c>
      <c r="B8" s="73" t="s">
        <v>116</v>
      </c>
      <c r="C8" s="74"/>
      <c r="D8" s="73"/>
      <c r="E8" s="74">
        <v>2</v>
      </c>
      <c r="F8" s="74">
        <v>15000</v>
      </c>
      <c r="G8" s="75"/>
      <c r="H8" s="76">
        <f t="shared" ref="H8:H10" si="1">C8*D8+E8*F8+G8</f>
        <v>30000</v>
      </c>
      <c r="I8" s="76"/>
      <c r="J8" s="77">
        <f t="shared" ref="J8:J10" si="2">I8-H8</f>
        <v>-30000</v>
      </c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</row>
    <row r="9" spans="1:27" ht="14.25">
      <c r="A9" s="83" t="s">
        <v>117</v>
      </c>
      <c r="B9" s="73" t="s">
        <v>116</v>
      </c>
      <c r="C9" s="74"/>
      <c r="D9" s="73"/>
      <c r="E9" s="74">
        <v>1500</v>
      </c>
      <c r="F9" s="74">
        <v>2</v>
      </c>
      <c r="G9" s="75"/>
      <c r="H9" s="76">
        <f t="shared" si="1"/>
        <v>3000</v>
      </c>
      <c r="I9" s="76"/>
      <c r="J9" s="151">
        <f t="shared" si="2"/>
        <v>-3000</v>
      </c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</row>
    <row r="10" spans="1:27" ht="15.75" customHeight="1">
      <c r="A10" s="83" t="s">
        <v>118</v>
      </c>
      <c r="B10" s="73" t="s">
        <v>119</v>
      </c>
      <c r="C10" s="74">
        <v>160</v>
      </c>
      <c r="D10" s="73">
        <v>15</v>
      </c>
      <c r="E10" s="74"/>
      <c r="F10" s="73"/>
      <c r="G10" s="75"/>
      <c r="H10" s="76">
        <f t="shared" si="1"/>
        <v>2400</v>
      </c>
      <c r="I10" s="76"/>
      <c r="J10" s="151">
        <f t="shared" si="2"/>
        <v>-2400</v>
      </c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</row>
    <row r="11" spans="1:27" ht="15.75" customHeight="1">
      <c r="A11" s="90"/>
      <c r="B11" s="90"/>
      <c r="C11" s="90"/>
      <c r="D11" s="90"/>
      <c r="E11" s="90"/>
      <c r="F11" s="90"/>
      <c r="G11" s="152" t="s">
        <v>120</v>
      </c>
      <c r="H11" s="78">
        <f t="shared" ref="H11:I11" si="3">SUM(H8:H10)</f>
        <v>35400</v>
      </c>
      <c r="I11" s="78">
        <f t="shared" si="3"/>
        <v>0</v>
      </c>
      <c r="J11" s="79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</row>
    <row r="12" spans="1:27" ht="15.75" customHeight="1">
      <c r="A12" s="80" t="s">
        <v>121</v>
      </c>
      <c r="B12" s="80"/>
      <c r="C12" s="80"/>
      <c r="D12" s="80"/>
      <c r="E12" s="80"/>
      <c r="F12" s="80"/>
      <c r="G12" s="80"/>
      <c r="H12" s="81"/>
      <c r="I12" s="81"/>
      <c r="J12" s="81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</row>
    <row r="13" spans="1:27" ht="15.75" customHeight="1">
      <c r="A13" s="83" t="s">
        <v>122</v>
      </c>
      <c r="B13" s="73" t="s">
        <v>116</v>
      </c>
      <c r="C13" s="74"/>
      <c r="D13" s="73"/>
      <c r="E13" s="74"/>
      <c r="F13" s="73"/>
      <c r="G13" s="75">
        <v>15000</v>
      </c>
      <c r="H13" s="82">
        <f>C13*D13+E13*F13+G13</f>
        <v>15000</v>
      </c>
      <c r="I13" s="76"/>
      <c r="J13" s="151">
        <f>I13-H13</f>
        <v>-15000</v>
      </c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</row>
    <row r="14" spans="1:27" ht="15.75" customHeight="1">
      <c r="A14" s="90"/>
      <c r="B14" s="90"/>
      <c r="C14" s="90"/>
      <c r="D14" s="90"/>
      <c r="E14" s="90"/>
      <c r="F14" s="90"/>
      <c r="G14" s="152" t="s">
        <v>120</v>
      </c>
      <c r="H14" s="78">
        <f t="shared" ref="H14:I14" si="4">SUM(H13)</f>
        <v>15000</v>
      </c>
      <c r="I14" s="78">
        <f t="shared" si="4"/>
        <v>0</v>
      </c>
      <c r="J14" s="79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</row>
    <row r="15" spans="1:27" ht="15.75" customHeight="1">
      <c r="A15" s="80" t="s">
        <v>123</v>
      </c>
      <c r="B15" s="83"/>
      <c r="C15" s="83"/>
      <c r="D15" s="83"/>
      <c r="E15" s="83"/>
      <c r="F15" s="83"/>
      <c r="G15" s="83"/>
      <c r="H15" s="81"/>
      <c r="I15" s="81"/>
      <c r="J15" s="81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</row>
    <row r="16" spans="1:27" ht="15.75" customHeight="1">
      <c r="A16" s="83" t="s">
        <v>124</v>
      </c>
      <c r="B16" s="84" t="s">
        <v>69</v>
      </c>
      <c r="C16" s="85">
        <v>80</v>
      </c>
      <c r="D16" s="84">
        <v>50</v>
      </c>
      <c r="E16" s="84"/>
      <c r="F16" s="84"/>
      <c r="G16" s="86"/>
      <c r="H16" s="76">
        <f t="shared" ref="H16:H18" si="5">C16*D16+E16*F16+G16</f>
        <v>4000</v>
      </c>
      <c r="I16" s="76"/>
      <c r="J16" s="151">
        <f t="shared" ref="J16:J18" si="6">I16-H16</f>
        <v>-4000</v>
      </c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</row>
    <row r="17" spans="1:27" ht="15.75" customHeight="1">
      <c r="A17" s="87" t="s">
        <v>125</v>
      </c>
      <c r="B17" s="88" t="s">
        <v>93</v>
      </c>
      <c r="C17" s="85">
        <v>80</v>
      </c>
      <c r="D17" s="84">
        <v>25</v>
      </c>
      <c r="E17" s="84"/>
      <c r="F17" s="84"/>
      <c r="G17" s="86"/>
      <c r="H17" s="76">
        <f t="shared" si="5"/>
        <v>2000</v>
      </c>
      <c r="I17" s="76"/>
      <c r="J17" s="151">
        <f t="shared" si="6"/>
        <v>-2000</v>
      </c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</row>
    <row r="18" spans="1:27" ht="15.75" customHeight="1">
      <c r="A18" s="87" t="s">
        <v>126</v>
      </c>
      <c r="B18" s="88" t="s">
        <v>93</v>
      </c>
      <c r="C18" s="85">
        <v>80</v>
      </c>
      <c r="D18" s="84">
        <v>25</v>
      </c>
      <c r="E18" s="84"/>
      <c r="F18" s="84"/>
      <c r="G18" s="89"/>
      <c r="H18" s="76">
        <f t="shared" si="5"/>
        <v>2000</v>
      </c>
      <c r="I18" s="76"/>
      <c r="J18" s="151">
        <f t="shared" si="6"/>
        <v>-2000</v>
      </c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</row>
    <row r="19" spans="1:27" ht="15.75" customHeight="1">
      <c r="A19" s="90"/>
      <c r="B19" s="90"/>
      <c r="C19" s="90"/>
      <c r="D19" s="90"/>
      <c r="E19" s="90"/>
      <c r="F19" s="90"/>
      <c r="G19" s="152" t="s">
        <v>120</v>
      </c>
      <c r="H19" s="78">
        <f>SUM(H16:H18)</f>
        <v>8000</v>
      </c>
      <c r="I19" s="78">
        <f>SUM(I17:I18)</f>
        <v>0</v>
      </c>
      <c r="J19" s="79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</row>
    <row r="20" spans="1:27" ht="15.75" customHeight="1">
      <c r="A20" s="83" t="s">
        <v>127</v>
      </c>
      <c r="B20" s="83"/>
      <c r="C20" s="83"/>
      <c r="D20" s="83"/>
      <c r="E20" s="83"/>
      <c r="F20" s="83"/>
      <c r="G20" s="83"/>
      <c r="H20" s="91">
        <v>3600</v>
      </c>
      <c r="I20" s="91"/>
      <c r="J20" s="9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</row>
    <row r="21" spans="1:27" ht="27" customHeight="1">
      <c r="A21" s="153" t="s">
        <v>128</v>
      </c>
      <c r="B21" s="153"/>
      <c r="C21" s="154"/>
      <c r="D21" s="153"/>
      <c r="E21" s="153"/>
      <c r="F21" s="153"/>
      <c r="G21" s="153"/>
      <c r="H21" s="155">
        <f>H11+H14+H19+H20</f>
        <v>62000</v>
      </c>
      <c r="I21" s="156">
        <f>SUM(I8:I10)</f>
        <v>0</v>
      </c>
      <c r="J21" s="157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</row>
    <row r="22" spans="1:27" ht="15.75" customHeight="1">
      <c r="A22" s="12"/>
      <c r="B22" s="12"/>
      <c r="C22" s="12"/>
      <c r="D22" s="12"/>
      <c r="E22" s="12"/>
      <c r="F22" s="12"/>
      <c r="G22" s="12"/>
      <c r="H22" s="93"/>
      <c r="I22" s="93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</row>
    <row r="23" spans="1:27" ht="15.75" customHeight="1">
      <c r="A23" s="12"/>
      <c r="B23" s="12"/>
      <c r="C23" s="12"/>
      <c r="D23" s="12"/>
      <c r="E23" s="12"/>
      <c r="F23" s="12"/>
      <c r="G23" s="12"/>
      <c r="H23" s="93"/>
      <c r="I23" s="93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</row>
    <row r="24" spans="1:27" ht="15.75" customHeight="1">
      <c r="A24" s="12"/>
      <c r="B24" s="12"/>
      <c r="C24" s="12"/>
      <c r="D24" s="12"/>
      <c r="E24" s="12"/>
      <c r="F24" s="12"/>
      <c r="G24" s="12"/>
      <c r="H24" s="93"/>
      <c r="I24" s="93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</row>
    <row r="25" spans="1:27" ht="15.75" customHeight="1">
      <c r="A25" s="12"/>
      <c r="B25" s="12"/>
      <c r="C25" s="12"/>
      <c r="D25" s="12"/>
      <c r="E25" s="12"/>
      <c r="F25" s="12"/>
      <c r="G25" s="12"/>
      <c r="H25" s="93"/>
      <c r="I25" s="93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</row>
    <row r="26" spans="1:27" ht="15.75" customHeight="1">
      <c r="A26" s="12"/>
      <c r="B26" s="12"/>
      <c r="C26" s="12"/>
      <c r="D26" s="12"/>
      <c r="E26" s="12"/>
      <c r="F26" s="12"/>
      <c r="G26" s="12"/>
      <c r="H26" s="93"/>
      <c r="I26" s="93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</row>
    <row r="27" spans="1:27" ht="15.75" customHeight="1">
      <c r="A27" s="12"/>
      <c r="B27" s="12"/>
      <c r="C27" s="12"/>
      <c r="D27" s="12"/>
      <c r="E27" s="12"/>
      <c r="F27" s="12"/>
      <c r="G27" s="12"/>
      <c r="H27" s="93"/>
      <c r="I27" s="93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</row>
    <row r="28" spans="1:27" ht="15.75" customHeight="1">
      <c r="A28" s="12"/>
      <c r="B28" s="12"/>
      <c r="C28" s="12"/>
      <c r="D28" s="12"/>
      <c r="E28" s="12"/>
      <c r="F28" s="12"/>
      <c r="G28" s="12"/>
      <c r="H28" s="93"/>
      <c r="I28" s="93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</row>
    <row r="29" spans="1:27" ht="15.75" customHeight="1">
      <c r="A29" s="12"/>
      <c r="B29" s="12"/>
      <c r="C29" s="12"/>
      <c r="D29" s="12"/>
      <c r="E29" s="12"/>
      <c r="F29" s="12"/>
      <c r="G29" s="12"/>
      <c r="H29" s="93"/>
      <c r="I29" s="93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</row>
    <row r="30" spans="1:27" ht="15.75" customHeight="1">
      <c r="A30" s="12"/>
      <c r="B30" s="12"/>
      <c r="C30" s="12"/>
      <c r="D30" s="12"/>
      <c r="E30" s="12"/>
      <c r="F30" s="12"/>
      <c r="G30" s="12"/>
      <c r="H30" s="93"/>
      <c r="I30" s="93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</row>
    <row r="31" spans="1:27" ht="15.75" customHeight="1">
      <c r="A31" s="12"/>
      <c r="B31" s="12"/>
      <c r="C31" s="12"/>
      <c r="D31" s="12"/>
      <c r="E31" s="12"/>
      <c r="F31" s="12"/>
      <c r="G31" s="12"/>
      <c r="H31" s="93"/>
      <c r="I31" s="93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</row>
    <row r="32" spans="1:27" ht="15.75" customHeight="1">
      <c r="A32" s="12"/>
      <c r="B32" s="12"/>
      <c r="C32" s="12"/>
      <c r="D32" s="12"/>
      <c r="E32" s="12"/>
      <c r="F32" s="12"/>
      <c r="G32" s="12"/>
      <c r="H32" s="93"/>
      <c r="I32" s="93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</row>
    <row r="33" spans="1:27" ht="15.75" customHeight="1">
      <c r="A33" s="12"/>
      <c r="B33" s="12"/>
      <c r="C33" s="12"/>
      <c r="D33" s="12"/>
      <c r="E33" s="12"/>
      <c r="F33" s="12"/>
      <c r="G33" s="12"/>
      <c r="H33" s="93"/>
      <c r="I33" s="93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</row>
    <row r="34" spans="1:27" ht="15.75" customHeight="1">
      <c r="A34" s="12"/>
      <c r="B34" s="12"/>
      <c r="C34" s="12"/>
      <c r="D34" s="12"/>
      <c r="E34" s="12"/>
      <c r="F34" s="12"/>
      <c r="G34" s="12"/>
      <c r="H34" s="93"/>
      <c r="I34" s="93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</row>
    <row r="35" spans="1:27" ht="15.75" customHeight="1">
      <c r="A35" s="12"/>
      <c r="B35" s="12"/>
      <c r="C35" s="12"/>
      <c r="D35" s="12"/>
      <c r="E35" s="12"/>
      <c r="F35" s="12"/>
      <c r="G35" s="12"/>
      <c r="H35" s="93"/>
      <c r="I35" s="93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</row>
    <row r="36" spans="1:27" ht="15.75" customHeight="1">
      <c r="A36" s="12"/>
      <c r="B36" s="12"/>
      <c r="C36" s="12"/>
      <c r="D36" s="12"/>
      <c r="E36" s="12"/>
      <c r="F36" s="12"/>
      <c r="G36" s="12"/>
      <c r="H36" s="93"/>
      <c r="I36" s="93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</row>
    <row r="37" spans="1:27" ht="15.75" customHeight="1">
      <c r="A37" s="12"/>
      <c r="B37" s="12"/>
      <c r="C37" s="12"/>
      <c r="D37" s="12"/>
      <c r="E37" s="12"/>
      <c r="F37" s="12"/>
      <c r="G37" s="12"/>
      <c r="H37" s="93"/>
      <c r="I37" s="93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</row>
    <row r="38" spans="1:27" ht="15.75" customHeight="1">
      <c r="A38" s="12"/>
      <c r="B38" s="12"/>
      <c r="C38" s="12"/>
      <c r="D38" s="12"/>
      <c r="E38" s="12"/>
      <c r="F38" s="12"/>
      <c r="G38" s="12"/>
      <c r="H38" s="93"/>
      <c r="I38" s="93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</row>
    <row r="39" spans="1:27" ht="15.75" customHeight="1">
      <c r="A39" s="12"/>
      <c r="B39" s="12"/>
      <c r="C39" s="12"/>
      <c r="D39" s="12"/>
      <c r="E39" s="12"/>
      <c r="F39" s="12"/>
      <c r="G39" s="12"/>
      <c r="H39" s="93"/>
      <c r="I39" s="93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</row>
    <row r="40" spans="1:27" ht="15.75" customHeight="1">
      <c r="A40" s="12"/>
      <c r="B40" s="12"/>
      <c r="C40" s="12"/>
      <c r="D40" s="12"/>
      <c r="E40" s="12"/>
      <c r="F40" s="12"/>
      <c r="G40" s="12"/>
      <c r="H40" s="93"/>
      <c r="I40" s="93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</row>
    <row r="41" spans="1:27" ht="15.75" customHeight="1">
      <c r="A41" s="12"/>
      <c r="B41" s="12"/>
      <c r="C41" s="12"/>
      <c r="D41" s="12"/>
      <c r="E41" s="12"/>
      <c r="F41" s="12"/>
      <c r="G41" s="12"/>
      <c r="H41" s="93"/>
      <c r="I41" s="93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</row>
    <row r="42" spans="1:27" ht="15.75" customHeight="1">
      <c r="A42" s="12"/>
      <c r="B42" s="12"/>
      <c r="C42" s="12"/>
      <c r="D42" s="12"/>
      <c r="E42" s="12"/>
      <c r="F42" s="12"/>
      <c r="G42" s="12"/>
      <c r="H42" s="93"/>
      <c r="I42" s="93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</row>
    <row r="43" spans="1:27" ht="15.75" customHeight="1">
      <c r="A43" s="12"/>
      <c r="B43" s="12"/>
      <c r="C43" s="12"/>
      <c r="D43" s="12"/>
      <c r="E43" s="12"/>
      <c r="F43" s="12"/>
      <c r="G43" s="12"/>
      <c r="H43" s="93"/>
      <c r="I43" s="93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</row>
    <row r="44" spans="1:27" ht="15.75" customHeight="1">
      <c r="A44" s="12"/>
      <c r="B44" s="12"/>
      <c r="C44" s="12"/>
      <c r="D44" s="12"/>
      <c r="E44" s="12"/>
      <c r="F44" s="12"/>
      <c r="G44" s="12"/>
      <c r="H44" s="93"/>
      <c r="I44" s="93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</row>
    <row r="45" spans="1:27" ht="15.75" customHeight="1">
      <c r="A45" s="12"/>
      <c r="B45" s="12"/>
      <c r="C45" s="12"/>
      <c r="D45" s="12"/>
      <c r="E45" s="12"/>
      <c r="F45" s="12"/>
      <c r="G45" s="12"/>
      <c r="H45" s="93"/>
      <c r="I45" s="93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</row>
    <row r="46" spans="1:27" ht="15.75" customHeight="1">
      <c r="A46" s="12"/>
      <c r="B46" s="12"/>
      <c r="C46" s="12"/>
      <c r="D46" s="12"/>
      <c r="E46" s="12"/>
      <c r="F46" s="12"/>
      <c r="G46" s="12"/>
      <c r="H46" s="93"/>
      <c r="I46" s="93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</row>
    <row r="47" spans="1:27" ht="15.75" customHeight="1">
      <c r="A47" s="12"/>
      <c r="B47" s="12"/>
      <c r="C47" s="12"/>
      <c r="D47" s="12"/>
      <c r="E47" s="12"/>
      <c r="F47" s="12"/>
      <c r="G47" s="12"/>
      <c r="H47" s="93"/>
      <c r="I47" s="93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</row>
    <row r="48" spans="1:27" ht="15.75" customHeight="1">
      <c r="A48" s="12"/>
      <c r="B48" s="12"/>
      <c r="C48" s="12"/>
      <c r="D48" s="12"/>
      <c r="E48" s="12"/>
      <c r="F48" s="12"/>
      <c r="G48" s="12"/>
      <c r="H48" s="93"/>
      <c r="I48" s="93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</row>
    <row r="49" spans="1:27" ht="15.75" customHeight="1">
      <c r="A49" s="12"/>
      <c r="B49" s="12"/>
      <c r="C49" s="12"/>
      <c r="D49" s="12"/>
      <c r="E49" s="12"/>
      <c r="F49" s="12"/>
      <c r="G49" s="12"/>
      <c r="H49" s="93"/>
      <c r="I49" s="93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</row>
    <row r="50" spans="1:27" ht="15.75" customHeight="1">
      <c r="A50" s="12"/>
      <c r="B50" s="12"/>
      <c r="C50" s="12"/>
      <c r="D50" s="12"/>
      <c r="E50" s="12"/>
      <c r="F50" s="12"/>
      <c r="G50" s="12"/>
      <c r="H50" s="93"/>
      <c r="I50" s="93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</row>
    <row r="51" spans="1:27" ht="15.75" customHeight="1">
      <c r="A51" s="12"/>
      <c r="B51" s="12"/>
      <c r="C51" s="12"/>
      <c r="D51" s="12"/>
      <c r="E51" s="12"/>
      <c r="F51" s="12"/>
      <c r="G51" s="12"/>
      <c r="H51" s="93"/>
      <c r="I51" s="93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</row>
    <row r="52" spans="1:27" ht="15.75" customHeight="1">
      <c r="A52" s="12"/>
      <c r="B52" s="12"/>
      <c r="C52" s="12"/>
      <c r="D52" s="12"/>
      <c r="E52" s="12"/>
      <c r="F52" s="12"/>
      <c r="G52" s="12"/>
      <c r="H52" s="93"/>
      <c r="I52" s="93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</row>
    <row r="53" spans="1:27" ht="15.75" customHeight="1">
      <c r="A53" s="12"/>
      <c r="B53" s="12"/>
      <c r="C53" s="12"/>
      <c r="D53" s="12"/>
      <c r="E53" s="12"/>
      <c r="F53" s="12"/>
      <c r="G53" s="12"/>
      <c r="H53" s="93"/>
      <c r="I53" s="93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</row>
    <row r="54" spans="1:27" ht="15.75" customHeight="1">
      <c r="A54" s="12"/>
      <c r="B54" s="12"/>
      <c r="C54" s="12"/>
      <c r="D54" s="12"/>
      <c r="E54" s="12"/>
      <c r="F54" s="12"/>
      <c r="G54" s="12"/>
      <c r="H54" s="93"/>
      <c r="I54" s="93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</row>
    <row r="55" spans="1:27" ht="15.75" customHeight="1">
      <c r="A55" s="12"/>
      <c r="B55" s="12"/>
      <c r="C55" s="12"/>
      <c r="D55" s="12"/>
      <c r="E55" s="12"/>
      <c r="F55" s="12"/>
      <c r="G55" s="12"/>
      <c r="H55" s="93"/>
      <c r="I55" s="93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</row>
    <row r="56" spans="1:27" ht="15.75" customHeight="1">
      <c r="A56" s="12"/>
      <c r="B56" s="12"/>
      <c r="C56" s="12"/>
      <c r="D56" s="12"/>
      <c r="E56" s="12"/>
      <c r="F56" s="12"/>
      <c r="G56" s="12"/>
      <c r="H56" s="93"/>
      <c r="I56" s="93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</row>
    <row r="57" spans="1:27" ht="15.75" customHeight="1">
      <c r="A57" s="12"/>
      <c r="B57" s="12"/>
      <c r="C57" s="12"/>
      <c r="D57" s="12"/>
      <c r="E57" s="12"/>
      <c r="F57" s="12"/>
      <c r="G57" s="12"/>
      <c r="H57" s="93"/>
      <c r="I57" s="93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</row>
    <row r="58" spans="1:27" ht="15.75" customHeight="1">
      <c r="A58" s="12"/>
      <c r="B58" s="12"/>
      <c r="C58" s="12"/>
      <c r="D58" s="12"/>
      <c r="E58" s="12"/>
      <c r="F58" s="12"/>
      <c r="G58" s="12"/>
      <c r="H58" s="93"/>
      <c r="I58" s="93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</row>
    <row r="59" spans="1:27" ht="15.75" customHeight="1">
      <c r="A59" s="12"/>
      <c r="B59" s="12"/>
      <c r="C59" s="12"/>
      <c r="D59" s="12"/>
      <c r="E59" s="12"/>
      <c r="F59" s="12"/>
      <c r="G59" s="12"/>
      <c r="H59" s="93"/>
      <c r="I59" s="93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</row>
    <row r="60" spans="1:27" ht="15.75" customHeight="1">
      <c r="A60" s="12"/>
      <c r="B60" s="12"/>
      <c r="C60" s="12"/>
      <c r="D60" s="12"/>
      <c r="E60" s="12"/>
      <c r="F60" s="12"/>
      <c r="G60" s="12"/>
      <c r="H60" s="93"/>
      <c r="I60" s="93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</row>
    <row r="61" spans="1:27" ht="15.75" customHeight="1">
      <c r="A61" s="12"/>
      <c r="B61" s="12"/>
      <c r="C61" s="12"/>
      <c r="D61" s="12"/>
      <c r="E61" s="12"/>
      <c r="F61" s="12"/>
      <c r="G61" s="12"/>
      <c r="H61" s="93"/>
      <c r="I61" s="93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</row>
    <row r="62" spans="1:27" ht="15.75" customHeight="1">
      <c r="A62" s="12"/>
      <c r="B62" s="12"/>
      <c r="C62" s="12"/>
      <c r="D62" s="12"/>
      <c r="E62" s="12"/>
      <c r="F62" s="12"/>
      <c r="G62" s="12"/>
      <c r="H62" s="93"/>
      <c r="I62" s="93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</row>
    <row r="63" spans="1:27" ht="15.75" customHeight="1">
      <c r="A63" s="12"/>
      <c r="B63" s="12"/>
      <c r="C63" s="12"/>
      <c r="D63" s="12"/>
      <c r="E63" s="12"/>
      <c r="F63" s="12"/>
      <c r="G63" s="12"/>
      <c r="H63" s="93"/>
      <c r="I63" s="93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 spans="1:27" ht="15.75" customHeight="1">
      <c r="A64" s="12"/>
      <c r="B64" s="12"/>
      <c r="C64" s="12"/>
      <c r="D64" s="12"/>
      <c r="E64" s="12"/>
      <c r="F64" s="12"/>
      <c r="G64" s="12"/>
      <c r="H64" s="93"/>
      <c r="I64" s="93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 spans="1:27" ht="15.75" customHeight="1">
      <c r="A65" s="12"/>
      <c r="B65" s="12"/>
      <c r="C65" s="12"/>
      <c r="D65" s="12"/>
      <c r="E65" s="12"/>
      <c r="F65" s="12"/>
      <c r="G65" s="12"/>
      <c r="H65" s="93"/>
      <c r="I65" s="93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 spans="1:27" ht="15.75" customHeight="1">
      <c r="A66" s="12"/>
      <c r="B66" s="12"/>
      <c r="C66" s="12"/>
      <c r="D66" s="12"/>
      <c r="E66" s="12"/>
      <c r="F66" s="12"/>
      <c r="G66" s="12"/>
      <c r="H66" s="93"/>
      <c r="I66" s="93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 spans="1:27" ht="15.75" customHeight="1">
      <c r="A67" s="12"/>
      <c r="B67" s="12"/>
      <c r="C67" s="12"/>
      <c r="D67" s="12"/>
      <c r="E67" s="12"/>
      <c r="F67" s="12"/>
      <c r="G67" s="12"/>
      <c r="H67" s="93"/>
      <c r="I67" s="93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 spans="1:27" ht="15.75" customHeight="1">
      <c r="A68" s="12"/>
      <c r="B68" s="12"/>
      <c r="C68" s="12"/>
      <c r="D68" s="12"/>
      <c r="E68" s="12"/>
      <c r="F68" s="12"/>
      <c r="G68" s="12"/>
      <c r="H68" s="93"/>
      <c r="I68" s="93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 spans="1:27" ht="15.75" customHeight="1">
      <c r="A69" s="12"/>
      <c r="B69" s="12"/>
      <c r="C69" s="12"/>
      <c r="D69" s="12"/>
      <c r="E69" s="12"/>
      <c r="F69" s="12"/>
      <c r="G69" s="12"/>
      <c r="H69" s="93"/>
      <c r="I69" s="93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 spans="1:27" ht="15.75" customHeight="1">
      <c r="A70" s="12"/>
      <c r="B70" s="12"/>
      <c r="C70" s="12"/>
      <c r="D70" s="12"/>
      <c r="E70" s="12"/>
      <c r="F70" s="12"/>
      <c r="G70" s="12"/>
      <c r="H70" s="93"/>
      <c r="I70" s="93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 spans="1:27" ht="15.75" customHeight="1">
      <c r="A71" s="12"/>
      <c r="B71" s="12"/>
      <c r="C71" s="12"/>
      <c r="D71" s="12"/>
      <c r="E71" s="12"/>
      <c r="F71" s="12"/>
      <c r="G71" s="12"/>
      <c r="H71" s="93"/>
      <c r="I71" s="93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</row>
    <row r="72" spans="1:27" ht="15.75" customHeight="1">
      <c r="A72" s="12"/>
      <c r="B72" s="12"/>
      <c r="C72" s="12"/>
      <c r="D72" s="12"/>
      <c r="E72" s="12"/>
      <c r="F72" s="12"/>
      <c r="G72" s="12"/>
      <c r="H72" s="93"/>
      <c r="I72" s="93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</row>
    <row r="73" spans="1:27" ht="15.75" customHeight="1">
      <c r="A73" s="12"/>
      <c r="B73" s="12"/>
      <c r="C73" s="12"/>
      <c r="D73" s="12"/>
      <c r="E73" s="12"/>
      <c r="F73" s="12"/>
      <c r="G73" s="12"/>
      <c r="H73" s="93"/>
      <c r="I73" s="93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</row>
    <row r="74" spans="1:27" ht="15.75" customHeight="1">
      <c r="A74" s="12"/>
      <c r="B74" s="12"/>
      <c r="C74" s="12"/>
      <c r="D74" s="12"/>
      <c r="E74" s="12"/>
      <c r="F74" s="12"/>
      <c r="G74" s="12"/>
      <c r="H74" s="93"/>
      <c r="I74" s="93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</row>
    <row r="75" spans="1:27" ht="15.75" customHeight="1">
      <c r="A75" s="12"/>
      <c r="B75" s="12"/>
      <c r="C75" s="12"/>
      <c r="D75" s="12"/>
      <c r="E75" s="12"/>
      <c r="F75" s="12"/>
      <c r="G75" s="12"/>
      <c r="H75" s="93"/>
      <c r="I75" s="93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</row>
    <row r="76" spans="1:27" ht="15.75" customHeight="1">
      <c r="A76" s="12"/>
      <c r="B76" s="12"/>
      <c r="C76" s="12"/>
      <c r="D76" s="12"/>
      <c r="E76" s="12"/>
      <c r="F76" s="12"/>
      <c r="G76" s="12"/>
      <c r="H76" s="93"/>
      <c r="I76" s="93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</row>
    <row r="77" spans="1:27" ht="15.75" customHeight="1">
      <c r="A77" s="12"/>
      <c r="B77" s="12"/>
      <c r="C77" s="12"/>
      <c r="D77" s="12"/>
      <c r="E77" s="12"/>
      <c r="F77" s="12"/>
      <c r="G77" s="12"/>
      <c r="H77" s="93"/>
      <c r="I77" s="93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</row>
    <row r="78" spans="1:27" ht="15.75" customHeight="1">
      <c r="A78" s="12"/>
      <c r="B78" s="12"/>
      <c r="C78" s="12"/>
      <c r="D78" s="12"/>
      <c r="E78" s="12"/>
      <c r="F78" s="12"/>
      <c r="G78" s="12"/>
      <c r="H78" s="93"/>
      <c r="I78" s="93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</row>
    <row r="79" spans="1:27" ht="15.75" customHeight="1">
      <c r="A79" s="12"/>
      <c r="B79" s="12"/>
      <c r="C79" s="12"/>
      <c r="D79" s="12"/>
      <c r="E79" s="12"/>
      <c r="F79" s="12"/>
      <c r="G79" s="12"/>
      <c r="H79" s="93"/>
      <c r="I79" s="93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</row>
    <row r="80" spans="1:27" ht="15.75" customHeight="1">
      <c r="A80" s="12"/>
      <c r="B80" s="12"/>
      <c r="C80" s="12"/>
      <c r="D80" s="12"/>
      <c r="E80" s="12"/>
      <c r="F80" s="12"/>
      <c r="G80" s="12"/>
      <c r="H80" s="93"/>
      <c r="I80" s="93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</row>
    <row r="81" spans="1:27" ht="15.75" customHeight="1">
      <c r="A81" s="12"/>
      <c r="B81" s="12"/>
      <c r="C81" s="12"/>
      <c r="D81" s="12"/>
      <c r="E81" s="12"/>
      <c r="F81" s="12"/>
      <c r="G81" s="12"/>
      <c r="H81" s="93"/>
      <c r="I81" s="93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</row>
    <row r="82" spans="1:27" ht="15.75" customHeight="1">
      <c r="A82" s="12"/>
      <c r="B82" s="12"/>
      <c r="C82" s="12"/>
      <c r="D82" s="12"/>
      <c r="E82" s="12"/>
      <c r="F82" s="12"/>
      <c r="G82" s="12"/>
      <c r="H82" s="93"/>
      <c r="I82" s="93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</row>
    <row r="83" spans="1:27" ht="15.75" customHeight="1">
      <c r="A83" s="12"/>
      <c r="B83" s="12"/>
      <c r="C83" s="12"/>
      <c r="D83" s="12"/>
      <c r="E83" s="12"/>
      <c r="F83" s="12"/>
      <c r="G83" s="12"/>
      <c r="H83" s="93"/>
      <c r="I83" s="93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</row>
    <row r="84" spans="1:27" ht="15.75" customHeight="1">
      <c r="A84" s="12"/>
      <c r="B84" s="12"/>
      <c r="C84" s="12"/>
      <c r="D84" s="12"/>
      <c r="E84" s="12"/>
      <c r="F84" s="12"/>
      <c r="G84" s="12"/>
      <c r="H84" s="93"/>
      <c r="I84" s="93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</row>
    <row r="85" spans="1:27" ht="15.75" customHeight="1">
      <c r="A85" s="12"/>
      <c r="B85" s="12"/>
      <c r="C85" s="12"/>
      <c r="D85" s="12"/>
      <c r="E85" s="12"/>
      <c r="F85" s="12"/>
      <c r="G85" s="12"/>
      <c r="H85" s="93"/>
      <c r="I85" s="93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</row>
    <row r="86" spans="1:27" ht="15.75" customHeight="1">
      <c r="A86" s="12"/>
      <c r="B86" s="12"/>
      <c r="C86" s="12"/>
      <c r="D86" s="12"/>
      <c r="E86" s="12"/>
      <c r="F86" s="12"/>
      <c r="G86" s="12"/>
      <c r="H86" s="93"/>
      <c r="I86" s="93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</row>
    <row r="87" spans="1:27" ht="15.75" customHeight="1">
      <c r="A87" s="12"/>
      <c r="B87" s="12"/>
      <c r="C87" s="12"/>
      <c r="D87" s="12"/>
      <c r="E87" s="12"/>
      <c r="F87" s="12"/>
      <c r="G87" s="12"/>
      <c r="H87" s="93"/>
      <c r="I87" s="93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</row>
    <row r="88" spans="1:27" ht="15.75" customHeight="1">
      <c r="A88" s="12"/>
      <c r="B88" s="12"/>
      <c r="C88" s="12"/>
      <c r="D88" s="12"/>
      <c r="E88" s="12"/>
      <c r="F88" s="12"/>
      <c r="G88" s="12"/>
      <c r="H88" s="93"/>
      <c r="I88" s="93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</row>
    <row r="89" spans="1:27" ht="15.75" customHeight="1">
      <c r="A89" s="12"/>
      <c r="B89" s="12"/>
      <c r="C89" s="12"/>
      <c r="D89" s="12"/>
      <c r="E89" s="12"/>
      <c r="F89" s="12"/>
      <c r="G89" s="12"/>
      <c r="H89" s="93"/>
      <c r="I89" s="93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</row>
    <row r="90" spans="1:27" ht="15.75" customHeight="1">
      <c r="A90" s="12"/>
      <c r="B90" s="12"/>
      <c r="C90" s="12"/>
      <c r="D90" s="12"/>
      <c r="E90" s="12"/>
      <c r="F90" s="12"/>
      <c r="G90" s="12"/>
      <c r="H90" s="93"/>
      <c r="I90" s="93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</row>
    <row r="91" spans="1:27" ht="15.75" customHeight="1">
      <c r="A91" s="12"/>
      <c r="B91" s="12"/>
      <c r="C91" s="12"/>
      <c r="D91" s="12"/>
      <c r="E91" s="12"/>
      <c r="F91" s="12"/>
      <c r="G91" s="12"/>
      <c r="H91" s="93"/>
      <c r="I91" s="93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</row>
    <row r="92" spans="1:27" ht="15.75" customHeight="1">
      <c r="A92" s="12"/>
      <c r="B92" s="12"/>
      <c r="C92" s="12"/>
      <c r="D92" s="12"/>
      <c r="E92" s="12"/>
      <c r="F92" s="12"/>
      <c r="G92" s="12"/>
      <c r="H92" s="93"/>
      <c r="I92" s="93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</row>
    <row r="93" spans="1:27" ht="15.75" customHeight="1">
      <c r="A93" s="12"/>
      <c r="B93" s="12"/>
      <c r="C93" s="12"/>
      <c r="D93" s="12"/>
      <c r="E93" s="12"/>
      <c r="F93" s="12"/>
      <c r="G93" s="12"/>
      <c r="H93" s="93"/>
      <c r="I93" s="93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</row>
    <row r="94" spans="1:27" ht="15.75" customHeight="1">
      <c r="A94" s="12"/>
      <c r="B94" s="12"/>
      <c r="C94" s="12"/>
      <c r="D94" s="12"/>
      <c r="E94" s="12"/>
      <c r="F94" s="12"/>
      <c r="G94" s="12"/>
      <c r="H94" s="93"/>
      <c r="I94" s="93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</row>
    <row r="95" spans="1:27" ht="15.75" customHeight="1">
      <c r="A95" s="12"/>
      <c r="B95" s="12"/>
      <c r="C95" s="12"/>
      <c r="D95" s="12"/>
      <c r="E95" s="12"/>
      <c r="F95" s="12"/>
      <c r="G95" s="12"/>
      <c r="H95" s="93"/>
      <c r="I95" s="93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</row>
    <row r="96" spans="1:27" ht="15.75" customHeight="1">
      <c r="A96" s="12"/>
      <c r="B96" s="12"/>
      <c r="C96" s="12"/>
      <c r="D96" s="12"/>
      <c r="E96" s="12"/>
      <c r="F96" s="12"/>
      <c r="G96" s="12"/>
      <c r="H96" s="93"/>
      <c r="I96" s="93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</row>
    <row r="97" spans="1:27" ht="15.75" customHeight="1">
      <c r="A97" s="12"/>
      <c r="B97" s="12"/>
      <c r="C97" s="12"/>
      <c r="D97" s="12"/>
      <c r="E97" s="12"/>
      <c r="F97" s="12"/>
      <c r="G97" s="12"/>
      <c r="H97" s="93"/>
      <c r="I97" s="93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</row>
    <row r="98" spans="1:27" ht="15.75" customHeight="1">
      <c r="A98" s="12"/>
      <c r="B98" s="12"/>
      <c r="C98" s="12"/>
      <c r="D98" s="12"/>
      <c r="E98" s="12"/>
      <c r="F98" s="12"/>
      <c r="G98" s="12"/>
      <c r="H98" s="93"/>
      <c r="I98" s="93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</row>
    <row r="99" spans="1:27" ht="15.75" customHeight="1">
      <c r="A99" s="12"/>
      <c r="B99" s="12"/>
      <c r="C99" s="12"/>
      <c r="D99" s="12"/>
      <c r="E99" s="12"/>
      <c r="F99" s="12"/>
      <c r="G99" s="12"/>
      <c r="H99" s="93"/>
      <c r="I99" s="93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</row>
    <row r="100" spans="1:27" ht="15.75" customHeight="1">
      <c r="A100" s="12"/>
      <c r="B100" s="12"/>
      <c r="C100" s="12"/>
      <c r="D100" s="12"/>
      <c r="E100" s="12"/>
      <c r="F100" s="12"/>
      <c r="G100" s="12"/>
      <c r="H100" s="93"/>
      <c r="I100" s="93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</row>
    <row r="101" spans="1:27" ht="15.75" customHeight="1">
      <c r="A101" s="12"/>
      <c r="B101" s="12"/>
      <c r="C101" s="12"/>
      <c r="D101" s="12"/>
      <c r="E101" s="12"/>
      <c r="F101" s="12"/>
      <c r="G101" s="12"/>
      <c r="H101" s="93"/>
      <c r="I101" s="93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</row>
    <row r="102" spans="1:27" ht="15.75" customHeight="1">
      <c r="A102" s="12"/>
      <c r="B102" s="12"/>
      <c r="C102" s="12"/>
      <c r="D102" s="12"/>
      <c r="E102" s="12"/>
      <c r="F102" s="12"/>
      <c r="G102" s="12"/>
      <c r="H102" s="93"/>
      <c r="I102" s="93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</row>
    <row r="103" spans="1:27" ht="15.75" customHeight="1">
      <c r="A103" s="12"/>
      <c r="B103" s="12"/>
      <c r="C103" s="12"/>
      <c r="D103" s="12"/>
      <c r="E103" s="12"/>
      <c r="F103" s="12"/>
      <c r="G103" s="12"/>
      <c r="H103" s="93"/>
      <c r="I103" s="93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</row>
    <row r="104" spans="1:27" ht="15.75" customHeight="1">
      <c r="A104" s="12"/>
      <c r="B104" s="12"/>
      <c r="C104" s="12"/>
      <c r="D104" s="12"/>
      <c r="E104" s="12"/>
      <c r="F104" s="12"/>
      <c r="G104" s="12"/>
      <c r="H104" s="93"/>
      <c r="I104" s="93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</row>
    <row r="105" spans="1:27" ht="15.75" customHeight="1">
      <c r="A105" s="12"/>
      <c r="B105" s="12"/>
      <c r="C105" s="12"/>
      <c r="D105" s="12"/>
      <c r="E105" s="12"/>
      <c r="F105" s="12"/>
      <c r="G105" s="12"/>
      <c r="H105" s="93"/>
      <c r="I105" s="93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</row>
    <row r="106" spans="1:27" ht="15.75" customHeight="1">
      <c r="A106" s="12"/>
      <c r="B106" s="12"/>
      <c r="C106" s="12"/>
      <c r="D106" s="12"/>
      <c r="E106" s="12"/>
      <c r="F106" s="12"/>
      <c r="G106" s="12"/>
      <c r="H106" s="93"/>
      <c r="I106" s="93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</row>
    <row r="107" spans="1:27" ht="15.75" customHeight="1">
      <c r="A107" s="12"/>
      <c r="B107" s="12"/>
      <c r="C107" s="12"/>
      <c r="D107" s="12"/>
      <c r="E107" s="12"/>
      <c r="F107" s="12"/>
      <c r="G107" s="12"/>
      <c r="H107" s="93"/>
      <c r="I107" s="93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</row>
    <row r="108" spans="1:27" ht="15.75" customHeight="1">
      <c r="A108" s="12"/>
      <c r="B108" s="12"/>
      <c r="C108" s="12"/>
      <c r="D108" s="12"/>
      <c r="E108" s="12"/>
      <c r="F108" s="12"/>
      <c r="G108" s="12"/>
      <c r="H108" s="93"/>
      <c r="I108" s="93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</row>
    <row r="109" spans="1:27" ht="15.75" customHeight="1">
      <c r="A109" s="12"/>
      <c r="B109" s="12"/>
      <c r="C109" s="12"/>
      <c r="D109" s="12"/>
      <c r="E109" s="12"/>
      <c r="F109" s="12"/>
      <c r="G109" s="12"/>
      <c r="H109" s="93"/>
      <c r="I109" s="93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</row>
    <row r="110" spans="1:27" ht="15.75" customHeight="1">
      <c r="A110" s="12"/>
      <c r="B110" s="12"/>
      <c r="C110" s="12"/>
      <c r="D110" s="12"/>
      <c r="E110" s="12"/>
      <c r="F110" s="12"/>
      <c r="G110" s="12"/>
      <c r="H110" s="93"/>
      <c r="I110" s="93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</row>
    <row r="111" spans="1:27" ht="15.75" customHeight="1">
      <c r="A111" s="12"/>
      <c r="B111" s="12"/>
      <c r="C111" s="12"/>
      <c r="D111" s="12"/>
      <c r="E111" s="12"/>
      <c r="F111" s="12"/>
      <c r="G111" s="12"/>
      <c r="H111" s="93"/>
      <c r="I111" s="93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</row>
    <row r="112" spans="1:27" ht="15.75" customHeight="1">
      <c r="A112" s="12"/>
      <c r="B112" s="12"/>
      <c r="C112" s="12"/>
      <c r="D112" s="12"/>
      <c r="E112" s="12"/>
      <c r="F112" s="12"/>
      <c r="G112" s="12"/>
      <c r="H112" s="93"/>
      <c r="I112" s="93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</row>
    <row r="113" spans="1:27" ht="15.75" customHeight="1">
      <c r="A113" s="12"/>
      <c r="B113" s="12"/>
      <c r="C113" s="12"/>
      <c r="D113" s="12"/>
      <c r="E113" s="12"/>
      <c r="F113" s="12"/>
      <c r="G113" s="12"/>
      <c r="H113" s="93"/>
      <c r="I113" s="93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</row>
    <row r="114" spans="1:27" ht="15.75" customHeight="1">
      <c r="A114" s="12"/>
      <c r="B114" s="12"/>
      <c r="C114" s="12"/>
      <c r="D114" s="12"/>
      <c r="E114" s="12"/>
      <c r="F114" s="12"/>
      <c r="G114" s="12"/>
      <c r="H114" s="93"/>
      <c r="I114" s="93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</row>
    <row r="115" spans="1:27" ht="15.75" customHeight="1">
      <c r="A115" s="12"/>
      <c r="B115" s="12"/>
      <c r="C115" s="12"/>
      <c r="D115" s="12"/>
      <c r="E115" s="12"/>
      <c r="F115" s="12"/>
      <c r="G115" s="12"/>
      <c r="H115" s="93"/>
      <c r="I115" s="93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</row>
    <row r="116" spans="1:27" ht="15.75" customHeight="1">
      <c r="A116" s="12"/>
      <c r="B116" s="12"/>
      <c r="C116" s="12"/>
      <c r="D116" s="12"/>
      <c r="E116" s="12"/>
      <c r="F116" s="12"/>
      <c r="G116" s="12"/>
      <c r="H116" s="93"/>
      <c r="I116" s="93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</row>
    <row r="117" spans="1:27" ht="15.75" customHeight="1">
      <c r="A117" s="12"/>
      <c r="B117" s="12"/>
      <c r="C117" s="12"/>
      <c r="D117" s="12"/>
      <c r="E117" s="12"/>
      <c r="F117" s="12"/>
      <c r="G117" s="12"/>
      <c r="H117" s="93"/>
      <c r="I117" s="93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</row>
    <row r="118" spans="1:27" ht="15.75" customHeight="1">
      <c r="A118" s="12"/>
      <c r="B118" s="12"/>
      <c r="C118" s="12"/>
      <c r="D118" s="12"/>
      <c r="E118" s="12"/>
      <c r="F118" s="12"/>
      <c r="G118" s="12"/>
      <c r="H118" s="93"/>
      <c r="I118" s="93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</row>
    <row r="119" spans="1:27" ht="15.75" customHeight="1">
      <c r="A119" s="12"/>
      <c r="B119" s="12"/>
      <c r="C119" s="12"/>
      <c r="D119" s="12"/>
      <c r="E119" s="12"/>
      <c r="F119" s="12"/>
      <c r="G119" s="12"/>
      <c r="H119" s="93"/>
      <c r="I119" s="93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</row>
    <row r="120" spans="1:27" ht="15.75" customHeight="1">
      <c r="A120" s="12"/>
      <c r="B120" s="12"/>
      <c r="C120" s="12"/>
      <c r="D120" s="12"/>
      <c r="E120" s="12"/>
      <c r="F120" s="12"/>
      <c r="G120" s="12"/>
      <c r="H120" s="93"/>
      <c r="I120" s="93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</row>
    <row r="121" spans="1:27" ht="15.75" customHeight="1">
      <c r="A121" s="12"/>
      <c r="B121" s="12"/>
      <c r="C121" s="12"/>
      <c r="D121" s="12"/>
      <c r="E121" s="12"/>
      <c r="F121" s="12"/>
      <c r="G121" s="12"/>
      <c r="H121" s="93"/>
      <c r="I121" s="93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</row>
    <row r="122" spans="1:27" ht="15.75" customHeight="1">
      <c r="A122" s="12"/>
      <c r="B122" s="12"/>
      <c r="C122" s="12"/>
      <c r="D122" s="12"/>
      <c r="E122" s="12"/>
      <c r="F122" s="12"/>
      <c r="G122" s="12"/>
      <c r="H122" s="93"/>
      <c r="I122" s="93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</row>
    <row r="123" spans="1:27" ht="15.75" customHeight="1">
      <c r="A123" s="12"/>
      <c r="B123" s="12"/>
      <c r="C123" s="12"/>
      <c r="D123" s="12"/>
      <c r="E123" s="12"/>
      <c r="F123" s="12"/>
      <c r="G123" s="12"/>
      <c r="H123" s="93"/>
      <c r="I123" s="93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</row>
    <row r="124" spans="1:27" ht="15.75" customHeight="1">
      <c r="A124" s="12"/>
      <c r="B124" s="12"/>
      <c r="C124" s="12"/>
      <c r="D124" s="12"/>
      <c r="E124" s="12"/>
      <c r="F124" s="12"/>
      <c r="G124" s="12"/>
      <c r="H124" s="93"/>
      <c r="I124" s="93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</row>
    <row r="125" spans="1:27" ht="15.75" customHeight="1">
      <c r="A125" s="12"/>
      <c r="B125" s="12"/>
      <c r="C125" s="12"/>
      <c r="D125" s="12"/>
      <c r="E125" s="12"/>
      <c r="F125" s="12"/>
      <c r="G125" s="12"/>
      <c r="H125" s="93"/>
      <c r="I125" s="93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</row>
    <row r="126" spans="1:27" ht="15.75" customHeight="1">
      <c r="A126" s="12"/>
      <c r="B126" s="12"/>
      <c r="C126" s="12"/>
      <c r="D126" s="12"/>
      <c r="E126" s="12"/>
      <c r="F126" s="12"/>
      <c r="G126" s="12"/>
      <c r="H126" s="93"/>
      <c r="I126" s="93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</row>
    <row r="127" spans="1:27" ht="15.75" customHeight="1">
      <c r="A127" s="12"/>
      <c r="B127" s="12"/>
      <c r="C127" s="12"/>
      <c r="D127" s="12"/>
      <c r="E127" s="12"/>
      <c r="F127" s="12"/>
      <c r="G127" s="12"/>
      <c r="H127" s="93"/>
      <c r="I127" s="93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</row>
    <row r="128" spans="1:27" ht="15.75" customHeight="1">
      <c r="A128" s="12"/>
      <c r="B128" s="12"/>
      <c r="C128" s="12"/>
      <c r="D128" s="12"/>
      <c r="E128" s="12"/>
      <c r="F128" s="12"/>
      <c r="G128" s="12"/>
      <c r="H128" s="93"/>
      <c r="I128" s="93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</row>
    <row r="129" spans="1:27" ht="15.75" customHeight="1">
      <c r="A129" s="12"/>
      <c r="B129" s="12"/>
      <c r="C129" s="12"/>
      <c r="D129" s="12"/>
      <c r="E129" s="12"/>
      <c r="F129" s="12"/>
      <c r="G129" s="12"/>
      <c r="H129" s="93"/>
      <c r="I129" s="93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</row>
    <row r="130" spans="1:27" ht="15.75" customHeight="1">
      <c r="A130" s="12"/>
      <c r="B130" s="12"/>
      <c r="C130" s="12"/>
      <c r="D130" s="12"/>
      <c r="E130" s="12"/>
      <c r="F130" s="12"/>
      <c r="G130" s="12"/>
      <c r="H130" s="93"/>
      <c r="I130" s="93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</row>
    <row r="131" spans="1:27" ht="15.75" customHeight="1">
      <c r="A131" s="12"/>
      <c r="B131" s="12"/>
      <c r="C131" s="12"/>
      <c r="D131" s="12"/>
      <c r="E131" s="12"/>
      <c r="F131" s="12"/>
      <c r="G131" s="12"/>
      <c r="H131" s="93"/>
      <c r="I131" s="93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</row>
    <row r="132" spans="1:27" ht="15.75" customHeight="1">
      <c r="A132" s="12"/>
      <c r="B132" s="12"/>
      <c r="C132" s="12"/>
      <c r="D132" s="12"/>
      <c r="E132" s="12"/>
      <c r="F132" s="12"/>
      <c r="G132" s="12"/>
      <c r="H132" s="93"/>
      <c r="I132" s="93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</row>
    <row r="133" spans="1:27" ht="15.75" customHeight="1">
      <c r="A133" s="12"/>
      <c r="B133" s="12"/>
      <c r="C133" s="12"/>
      <c r="D133" s="12"/>
      <c r="E133" s="12"/>
      <c r="F133" s="12"/>
      <c r="G133" s="12"/>
      <c r="H133" s="93"/>
      <c r="I133" s="93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</row>
    <row r="134" spans="1:27" ht="15.75" customHeight="1">
      <c r="A134" s="12"/>
      <c r="B134" s="12"/>
      <c r="C134" s="12"/>
      <c r="D134" s="12"/>
      <c r="E134" s="12"/>
      <c r="F134" s="12"/>
      <c r="G134" s="12"/>
      <c r="H134" s="93"/>
      <c r="I134" s="93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</row>
    <row r="135" spans="1:27" ht="15.75" customHeight="1">
      <c r="A135" s="12"/>
      <c r="B135" s="12"/>
      <c r="C135" s="12"/>
      <c r="D135" s="12"/>
      <c r="E135" s="12"/>
      <c r="F135" s="12"/>
      <c r="G135" s="12"/>
      <c r="H135" s="93"/>
      <c r="I135" s="93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</row>
    <row r="136" spans="1:27" ht="15.75" customHeight="1">
      <c r="A136" s="12"/>
      <c r="B136" s="12"/>
      <c r="C136" s="12"/>
      <c r="D136" s="12"/>
      <c r="E136" s="12"/>
      <c r="F136" s="12"/>
      <c r="G136" s="12"/>
      <c r="H136" s="93"/>
      <c r="I136" s="93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</row>
    <row r="137" spans="1:27" ht="15.75" customHeight="1">
      <c r="A137" s="12"/>
      <c r="B137" s="12"/>
      <c r="C137" s="12"/>
      <c r="D137" s="12"/>
      <c r="E137" s="12"/>
      <c r="F137" s="12"/>
      <c r="G137" s="12"/>
      <c r="H137" s="93"/>
      <c r="I137" s="93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</row>
    <row r="138" spans="1:27" ht="15.75" customHeight="1">
      <c r="A138" s="12"/>
      <c r="B138" s="12"/>
      <c r="C138" s="12"/>
      <c r="D138" s="12"/>
      <c r="E138" s="12"/>
      <c r="F138" s="12"/>
      <c r="G138" s="12"/>
      <c r="H138" s="93"/>
      <c r="I138" s="93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</row>
    <row r="139" spans="1:27" ht="15.75" customHeight="1">
      <c r="A139" s="12"/>
      <c r="B139" s="12"/>
      <c r="C139" s="12"/>
      <c r="D139" s="12"/>
      <c r="E139" s="12"/>
      <c r="F139" s="12"/>
      <c r="G139" s="12"/>
      <c r="H139" s="93"/>
      <c r="I139" s="93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</row>
    <row r="140" spans="1:27" ht="15.75" customHeight="1">
      <c r="A140" s="12"/>
      <c r="B140" s="12"/>
      <c r="C140" s="12"/>
      <c r="D140" s="12"/>
      <c r="E140" s="12"/>
      <c r="F140" s="12"/>
      <c r="G140" s="12"/>
      <c r="H140" s="93"/>
      <c r="I140" s="93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</row>
    <row r="141" spans="1:27" ht="15.75" customHeight="1">
      <c r="A141" s="12"/>
      <c r="B141" s="12"/>
      <c r="C141" s="12"/>
      <c r="D141" s="12"/>
      <c r="E141" s="12"/>
      <c r="F141" s="12"/>
      <c r="G141" s="12"/>
      <c r="H141" s="93"/>
      <c r="I141" s="93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</row>
    <row r="142" spans="1:27" ht="15.75" customHeight="1">
      <c r="A142" s="12"/>
      <c r="B142" s="12"/>
      <c r="C142" s="12"/>
      <c r="D142" s="12"/>
      <c r="E142" s="12"/>
      <c r="F142" s="12"/>
      <c r="G142" s="12"/>
      <c r="H142" s="93"/>
      <c r="I142" s="93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</row>
    <row r="143" spans="1:27" ht="15.75" customHeight="1">
      <c r="A143" s="12"/>
      <c r="B143" s="12"/>
      <c r="C143" s="12"/>
      <c r="D143" s="12"/>
      <c r="E143" s="12"/>
      <c r="F143" s="12"/>
      <c r="G143" s="12"/>
      <c r="H143" s="93"/>
      <c r="I143" s="93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</row>
    <row r="144" spans="1:27" ht="15.75" customHeight="1">
      <c r="A144" s="12"/>
      <c r="B144" s="12"/>
      <c r="C144" s="12"/>
      <c r="D144" s="12"/>
      <c r="E144" s="12"/>
      <c r="F144" s="12"/>
      <c r="G144" s="12"/>
      <c r="H144" s="93"/>
      <c r="I144" s="93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</row>
    <row r="145" spans="1:27" ht="15.75" customHeight="1">
      <c r="A145" s="12"/>
      <c r="B145" s="12"/>
      <c r="C145" s="12"/>
      <c r="D145" s="12"/>
      <c r="E145" s="12"/>
      <c r="F145" s="12"/>
      <c r="G145" s="12"/>
      <c r="H145" s="93"/>
      <c r="I145" s="93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</row>
    <row r="146" spans="1:27" ht="15.75" customHeight="1">
      <c r="A146" s="12"/>
      <c r="B146" s="12"/>
      <c r="C146" s="12"/>
      <c r="D146" s="12"/>
      <c r="E146" s="12"/>
      <c r="F146" s="12"/>
      <c r="G146" s="12"/>
      <c r="H146" s="93"/>
      <c r="I146" s="93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</row>
    <row r="147" spans="1:27" ht="15.75" customHeight="1">
      <c r="A147" s="12"/>
      <c r="B147" s="12"/>
      <c r="C147" s="12"/>
      <c r="D147" s="12"/>
      <c r="E147" s="12"/>
      <c r="F147" s="12"/>
      <c r="G147" s="12"/>
      <c r="H147" s="93"/>
      <c r="I147" s="93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</row>
    <row r="148" spans="1:27" ht="15.75" customHeight="1">
      <c r="A148" s="12"/>
      <c r="B148" s="12"/>
      <c r="C148" s="12"/>
      <c r="D148" s="12"/>
      <c r="E148" s="12"/>
      <c r="F148" s="12"/>
      <c r="G148" s="12"/>
      <c r="H148" s="93"/>
      <c r="I148" s="93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</row>
    <row r="149" spans="1:27" ht="15.75" customHeight="1">
      <c r="A149" s="12"/>
      <c r="B149" s="12"/>
      <c r="C149" s="12"/>
      <c r="D149" s="12"/>
      <c r="E149" s="12"/>
      <c r="F149" s="12"/>
      <c r="G149" s="12"/>
      <c r="H149" s="93"/>
      <c r="I149" s="93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</row>
    <row r="150" spans="1:27" ht="15.75" customHeight="1">
      <c r="A150" s="12"/>
      <c r="B150" s="12"/>
      <c r="C150" s="12"/>
      <c r="D150" s="12"/>
      <c r="E150" s="12"/>
      <c r="F150" s="12"/>
      <c r="G150" s="12"/>
      <c r="H150" s="93"/>
      <c r="I150" s="93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</row>
    <row r="151" spans="1:27" ht="15.75" customHeight="1">
      <c r="A151" s="12"/>
      <c r="B151" s="12"/>
      <c r="C151" s="12"/>
      <c r="D151" s="12"/>
      <c r="E151" s="12"/>
      <c r="F151" s="12"/>
      <c r="G151" s="12"/>
      <c r="H151" s="93"/>
      <c r="I151" s="93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</row>
    <row r="152" spans="1:27" ht="15.75" customHeight="1">
      <c r="A152" s="12"/>
      <c r="B152" s="12"/>
      <c r="C152" s="12"/>
      <c r="D152" s="12"/>
      <c r="E152" s="12"/>
      <c r="F152" s="12"/>
      <c r="G152" s="12"/>
      <c r="H152" s="93"/>
      <c r="I152" s="93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</row>
    <row r="153" spans="1:27" ht="15.75" customHeight="1">
      <c r="A153" s="12"/>
      <c r="B153" s="12"/>
      <c r="C153" s="12"/>
      <c r="D153" s="12"/>
      <c r="E153" s="12"/>
      <c r="F153" s="12"/>
      <c r="G153" s="12"/>
      <c r="H153" s="93"/>
      <c r="I153" s="93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</row>
    <row r="154" spans="1:27" ht="15.75" customHeight="1">
      <c r="A154" s="12"/>
      <c r="B154" s="12"/>
      <c r="C154" s="12"/>
      <c r="D154" s="12"/>
      <c r="E154" s="12"/>
      <c r="F154" s="12"/>
      <c r="G154" s="12"/>
      <c r="H154" s="93"/>
      <c r="I154" s="93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</row>
    <row r="155" spans="1:27" ht="15.75" customHeight="1">
      <c r="A155" s="12"/>
      <c r="B155" s="12"/>
      <c r="C155" s="12"/>
      <c r="D155" s="12"/>
      <c r="E155" s="12"/>
      <c r="F155" s="12"/>
      <c r="G155" s="12"/>
      <c r="H155" s="93"/>
      <c r="I155" s="93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</row>
    <row r="156" spans="1:27" ht="15.75" customHeight="1">
      <c r="A156" s="12"/>
      <c r="B156" s="12"/>
      <c r="C156" s="12"/>
      <c r="D156" s="12"/>
      <c r="E156" s="12"/>
      <c r="F156" s="12"/>
      <c r="G156" s="12"/>
      <c r="H156" s="93"/>
      <c r="I156" s="93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</row>
    <row r="157" spans="1:27" ht="15.75" customHeight="1">
      <c r="A157" s="12"/>
      <c r="B157" s="12"/>
      <c r="C157" s="12"/>
      <c r="D157" s="12"/>
      <c r="E157" s="12"/>
      <c r="F157" s="12"/>
      <c r="G157" s="12"/>
      <c r="H157" s="93"/>
      <c r="I157" s="93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</row>
    <row r="158" spans="1:27" ht="15.75" customHeight="1">
      <c r="A158" s="12"/>
      <c r="B158" s="12"/>
      <c r="C158" s="12"/>
      <c r="D158" s="12"/>
      <c r="E158" s="12"/>
      <c r="F158" s="12"/>
      <c r="G158" s="12"/>
      <c r="H158" s="93"/>
      <c r="I158" s="93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</row>
    <row r="159" spans="1:27" ht="15.75" customHeight="1">
      <c r="A159" s="12"/>
      <c r="B159" s="12"/>
      <c r="C159" s="12"/>
      <c r="D159" s="12"/>
      <c r="E159" s="12"/>
      <c r="F159" s="12"/>
      <c r="G159" s="12"/>
      <c r="H159" s="93"/>
      <c r="I159" s="93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</row>
    <row r="160" spans="1:27" ht="15.75" customHeight="1">
      <c r="A160" s="12"/>
      <c r="B160" s="12"/>
      <c r="C160" s="12"/>
      <c r="D160" s="12"/>
      <c r="E160" s="12"/>
      <c r="F160" s="12"/>
      <c r="G160" s="12"/>
      <c r="H160" s="93"/>
      <c r="I160" s="93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</row>
    <row r="161" spans="1:27" ht="15.75" customHeight="1">
      <c r="A161" s="12"/>
      <c r="B161" s="12"/>
      <c r="C161" s="12"/>
      <c r="D161" s="12"/>
      <c r="E161" s="12"/>
      <c r="F161" s="12"/>
      <c r="G161" s="12"/>
      <c r="H161" s="93"/>
      <c r="I161" s="93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</row>
    <row r="162" spans="1:27" ht="15.75" customHeight="1">
      <c r="A162" s="12"/>
      <c r="B162" s="12"/>
      <c r="C162" s="12"/>
      <c r="D162" s="12"/>
      <c r="E162" s="12"/>
      <c r="F162" s="12"/>
      <c r="G162" s="12"/>
      <c r="H162" s="93"/>
      <c r="I162" s="93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</row>
    <row r="163" spans="1:27" ht="15.75" customHeight="1">
      <c r="A163" s="12"/>
      <c r="B163" s="12"/>
      <c r="C163" s="12"/>
      <c r="D163" s="12"/>
      <c r="E163" s="12"/>
      <c r="F163" s="12"/>
      <c r="G163" s="12"/>
      <c r="H163" s="93"/>
      <c r="I163" s="93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</row>
    <row r="164" spans="1:27" ht="15.75" customHeight="1">
      <c r="A164" s="12"/>
      <c r="B164" s="12"/>
      <c r="C164" s="12"/>
      <c r="D164" s="12"/>
      <c r="E164" s="12"/>
      <c r="F164" s="12"/>
      <c r="G164" s="12"/>
      <c r="H164" s="93"/>
      <c r="I164" s="93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</row>
    <row r="165" spans="1:27" ht="15.75" customHeight="1">
      <c r="A165" s="12"/>
      <c r="B165" s="12"/>
      <c r="C165" s="12"/>
      <c r="D165" s="12"/>
      <c r="E165" s="12"/>
      <c r="F165" s="12"/>
      <c r="G165" s="12"/>
      <c r="H165" s="93"/>
      <c r="I165" s="93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</row>
    <row r="166" spans="1:27" ht="15.75" customHeight="1">
      <c r="A166" s="12"/>
      <c r="B166" s="12"/>
      <c r="C166" s="12"/>
      <c r="D166" s="12"/>
      <c r="E166" s="12"/>
      <c r="F166" s="12"/>
      <c r="G166" s="12"/>
      <c r="H166" s="93"/>
      <c r="I166" s="93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</row>
    <row r="167" spans="1:27" ht="15.75" customHeight="1">
      <c r="A167" s="12"/>
      <c r="B167" s="12"/>
      <c r="C167" s="12"/>
      <c r="D167" s="12"/>
      <c r="E167" s="12"/>
      <c r="F167" s="12"/>
      <c r="G167" s="12"/>
      <c r="H167" s="93"/>
      <c r="I167" s="93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</row>
    <row r="168" spans="1:27" ht="15.75" customHeight="1">
      <c r="A168" s="12"/>
      <c r="B168" s="12"/>
      <c r="C168" s="12"/>
      <c r="D168" s="12"/>
      <c r="E168" s="12"/>
      <c r="F168" s="12"/>
      <c r="G168" s="12"/>
      <c r="H168" s="93"/>
      <c r="I168" s="93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</row>
    <row r="169" spans="1:27" ht="15.75" customHeight="1">
      <c r="A169" s="12"/>
      <c r="B169" s="12"/>
      <c r="C169" s="12"/>
      <c r="D169" s="12"/>
      <c r="E169" s="12"/>
      <c r="F169" s="12"/>
      <c r="G169" s="12"/>
      <c r="H169" s="93"/>
      <c r="I169" s="93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</row>
    <row r="170" spans="1:27" ht="15.75" customHeight="1">
      <c r="A170" s="12"/>
      <c r="B170" s="12"/>
      <c r="C170" s="12"/>
      <c r="D170" s="12"/>
      <c r="E170" s="12"/>
      <c r="F170" s="12"/>
      <c r="G170" s="12"/>
      <c r="H170" s="93"/>
      <c r="I170" s="93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</row>
    <row r="171" spans="1:27" ht="15.75" customHeight="1">
      <c r="A171" s="12"/>
      <c r="B171" s="12"/>
      <c r="C171" s="12"/>
      <c r="D171" s="12"/>
      <c r="E171" s="12"/>
      <c r="F171" s="12"/>
      <c r="G171" s="12"/>
      <c r="H171" s="93"/>
      <c r="I171" s="93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</row>
    <row r="172" spans="1:27" ht="15.75" customHeight="1">
      <c r="A172" s="12"/>
      <c r="B172" s="12"/>
      <c r="C172" s="12"/>
      <c r="D172" s="12"/>
      <c r="E172" s="12"/>
      <c r="F172" s="12"/>
      <c r="G172" s="12"/>
      <c r="H172" s="93"/>
      <c r="I172" s="93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</row>
    <row r="173" spans="1:27" ht="15.75" customHeight="1">
      <c r="A173" s="12"/>
      <c r="B173" s="12"/>
      <c r="C173" s="12"/>
      <c r="D173" s="12"/>
      <c r="E173" s="12"/>
      <c r="F173" s="12"/>
      <c r="G173" s="12"/>
      <c r="H173" s="93"/>
      <c r="I173" s="93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</row>
    <row r="174" spans="1:27" ht="15.75" customHeight="1">
      <c r="A174" s="12"/>
      <c r="B174" s="12"/>
      <c r="C174" s="12"/>
      <c r="D174" s="12"/>
      <c r="E174" s="12"/>
      <c r="F174" s="12"/>
      <c r="G174" s="12"/>
      <c r="H174" s="93"/>
      <c r="I174" s="93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</row>
    <row r="175" spans="1:27" ht="15.75" customHeight="1">
      <c r="A175" s="12"/>
      <c r="B175" s="12"/>
      <c r="C175" s="12"/>
      <c r="D175" s="12"/>
      <c r="E175" s="12"/>
      <c r="F175" s="12"/>
      <c r="G175" s="12"/>
      <c r="H175" s="93"/>
      <c r="I175" s="93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</row>
    <row r="176" spans="1:27" ht="15.75" customHeight="1">
      <c r="A176" s="12"/>
      <c r="B176" s="12"/>
      <c r="C176" s="12"/>
      <c r="D176" s="12"/>
      <c r="E176" s="12"/>
      <c r="F176" s="12"/>
      <c r="G176" s="12"/>
      <c r="H176" s="93"/>
      <c r="I176" s="93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</row>
    <row r="177" spans="1:27" ht="15.75" customHeight="1">
      <c r="A177" s="12"/>
      <c r="B177" s="12"/>
      <c r="C177" s="12"/>
      <c r="D177" s="12"/>
      <c r="E177" s="12"/>
      <c r="F177" s="12"/>
      <c r="G177" s="12"/>
      <c r="H177" s="93"/>
      <c r="I177" s="93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</row>
    <row r="178" spans="1:27" ht="15.75" customHeight="1">
      <c r="A178" s="12"/>
      <c r="B178" s="12"/>
      <c r="C178" s="12"/>
      <c r="D178" s="12"/>
      <c r="E178" s="12"/>
      <c r="F178" s="12"/>
      <c r="G178" s="12"/>
      <c r="H178" s="93"/>
      <c r="I178" s="93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</row>
    <row r="179" spans="1:27" ht="15.75" customHeight="1">
      <c r="A179" s="12"/>
      <c r="B179" s="12"/>
      <c r="C179" s="12"/>
      <c r="D179" s="12"/>
      <c r="E179" s="12"/>
      <c r="F179" s="12"/>
      <c r="G179" s="12"/>
      <c r="H179" s="93"/>
      <c r="I179" s="93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</row>
    <row r="180" spans="1:27" ht="15.75" customHeight="1">
      <c r="A180" s="12"/>
      <c r="B180" s="12"/>
      <c r="C180" s="12"/>
      <c r="D180" s="12"/>
      <c r="E180" s="12"/>
      <c r="F180" s="12"/>
      <c r="G180" s="12"/>
      <c r="H180" s="93"/>
      <c r="I180" s="93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</row>
    <row r="181" spans="1:27" ht="15.75" customHeight="1">
      <c r="A181" s="12"/>
      <c r="B181" s="12"/>
      <c r="C181" s="12"/>
      <c r="D181" s="12"/>
      <c r="E181" s="12"/>
      <c r="F181" s="12"/>
      <c r="G181" s="12"/>
      <c r="H181" s="93"/>
      <c r="I181" s="93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</row>
    <row r="182" spans="1:27" ht="15.75" customHeight="1">
      <c r="A182" s="12"/>
      <c r="B182" s="12"/>
      <c r="C182" s="12"/>
      <c r="D182" s="12"/>
      <c r="E182" s="12"/>
      <c r="F182" s="12"/>
      <c r="G182" s="12"/>
      <c r="H182" s="93"/>
      <c r="I182" s="93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</row>
    <row r="183" spans="1:27" ht="15.75" customHeight="1">
      <c r="A183" s="12"/>
      <c r="B183" s="12"/>
      <c r="C183" s="12"/>
      <c r="D183" s="12"/>
      <c r="E183" s="12"/>
      <c r="F183" s="12"/>
      <c r="G183" s="12"/>
      <c r="H183" s="93"/>
      <c r="I183" s="93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</row>
    <row r="184" spans="1:27" ht="15.75" customHeight="1">
      <c r="A184" s="12"/>
      <c r="B184" s="12"/>
      <c r="C184" s="12"/>
      <c r="D184" s="12"/>
      <c r="E184" s="12"/>
      <c r="F184" s="12"/>
      <c r="G184" s="12"/>
      <c r="H184" s="93"/>
      <c r="I184" s="93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</row>
    <row r="185" spans="1:27" ht="15.75" customHeight="1">
      <c r="A185" s="12"/>
      <c r="B185" s="12"/>
      <c r="C185" s="12"/>
      <c r="D185" s="12"/>
      <c r="E185" s="12"/>
      <c r="F185" s="12"/>
      <c r="G185" s="12"/>
      <c r="H185" s="93"/>
      <c r="I185" s="93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</row>
    <row r="186" spans="1:27" ht="15.75" customHeight="1">
      <c r="A186" s="12"/>
      <c r="B186" s="12"/>
      <c r="C186" s="12"/>
      <c r="D186" s="12"/>
      <c r="E186" s="12"/>
      <c r="F186" s="12"/>
      <c r="G186" s="12"/>
      <c r="H186" s="93"/>
      <c r="I186" s="93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</row>
    <row r="187" spans="1:27" ht="15.75" customHeight="1">
      <c r="A187" s="12"/>
      <c r="B187" s="12"/>
      <c r="C187" s="12"/>
      <c r="D187" s="12"/>
      <c r="E187" s="12"/>
      <c r="F187" s="12"/>
      <c r="G187" s="12"/>
      <c r="H187" s="93"/>
      <c r="I187" s="93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</row>
    <row r="188" spans="1:27" ht="15.75" customHeight="1">
      <c r="A188" s="12"/>
      <c r="B188" s="12"/>
      <c r="C188" s="12"/>
      <c r="D188" s="12"/>
      <c r="E188" s="12"/>
      <c r="F188" s="12"/>
      <c r="G188" s="12"/>
      <c r="H188" s="93"/>
      <c r="I188" s="93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</row>
    <row r="189" spans="1:27" ht="15.75" customHeight="1">
      <c r="A189" s="12"/>
      <c r="B189" s="12"/>
      <c r="C189" s="12"/>
      <c r="D189" s="12"/>
      <c r="E189" s="12"/>
      <c r="F189" s="12"/>
      <c r="G189" s="12"/>
      <c r="H189" s="93"/>
      <c r="I189" s="93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</row>
    <row r="190" spans="1:27" ht="15.75" customHeight="1">
      <c r="A190" s="12"/>
      <c r="B190" s="12"/>
      <c r="C190" s="12"/>
      <c r="D190" s="12"/>
      <c r="E190" s="12"/>
      <c r="F190" s="12"/>
      <c r="G190" s="12"/>
      <c r="H190" s="93"/>
      <c r="I190" s="93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</row>
    <row r="191" spans="1:27" ht="15.75" customHeight="1">
      <c r="A191" s="12"/>
      <c r="B191" s="12"/>
      <c r="C191" s="12"/>
      <c r="D191" s="12"/>
      <c r="E191" s="12"/>
      <c r="F191" s="12"/>
      <c r="G191" s="12"/>
      <c r="H191" s="93"/>
      <c r="I191" s="93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</row>
    <row r="192" spans="1:27" ht="15.75" customHeight="1">
      <c r="A192" s="12"/>
      <c r="B192" s="12"/>
      <c r="C192" s="12"/>
      <c r="D192" s="12"/>
      <c r="E192" s="12"/>
      <c r="F192" s="12"/>
      <c r="G192" s="12"/>
      <c r="H192" s="93"/>
      <c r="I192" s="93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</row>
    <row r="193" spans="1:27" ht="15.75" customHeight="1">
      <c r="A193" s="12"/>
      <c r="B193" s="12"/>
      <c r="C193" s="12"/>
      <c r="D193" s="12"/>
      <c r="E193" s="12"/>
      <c r="F193" s="12"/>
      <c r="G193" s="12"/>
      <c r="H193" s="93"/>
      <c r="I193" s="93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</row>
    <row r="194" spans="1:27" ht="15.75" customHeight="1">
      <c r="A194" s="12"/>
      <c r="B194" s="12"/>
      <c r="C194" s="12"/>
      <c r="D194" s="12"/>
      <c r="E194" s="12"/>
      <c r="F194" s="12"/>
      <c r="G194" s="12"/>
      <c r="H194" s="93"/>
      <c r="I194" s="93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</row>
    <row r="195" spans="1:27" ht="15.75" customHeight="1">
      <c r="A195" s="12"/>
      <c r="B195" s="12"/>
      <c r="C195" s="12"/>
      <c r="D195" s="12"/>
      <c r="E195" s="12"/>
      <c r="F195" s="12"/>
      <c r="G195" s="12"/>
      <c r="H195" s="93"/>
      <c r="I195" s="93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</row>
    <row r="196" spans="1:27" ht="15.75" customHeight="1">
      <c r="A196" s="12"/>
      <c r="B196" s="12"/>
      <c r="C196" s="12"/>
      <c r="D196" s="12"/>
      <c r="E196" s="12"/>
      <c r="F196" s="12"/>
      <c r="G196" s="12"/>
      <c r="H196" s="93"/>
      <c r="I196" s="93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</row>
    <row r="197" spans="1:27" ht="15.75" customHeight="1">
      <c r="A197" s="12"/>
      <c r="B197" s="12"/>
      <c r="C197" s="12"/>
      <c r="D197" s="12"/>
      <c r="E197" s="12"/>
      <c r="F197" s="12"/>
      <c r="G197" s="12"/>
      <c r="H197" s="93"/>
      <c r="I197" s="93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</row>
    <row r="198" spans="1:27" ht="15.75" customHeight="1">
      <c r="A198" s="12"/>
      <c r="B198" s="12"/>
      <c r="C198" s="12"/>
      <c r="D198" s="12"/>
      <c r="E198" s="12"/>
      <c r="F198" s="12"/>
      <c r="G198" s="12"/>
      <c r="H198" s="93"/>
      <c r="I198" s="93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</row>
    <row r="199" spans="1:27" ht="15.75" customHeight="1">
      <c r="A199" s="12"/>
      <c r="B199" s="12"/>
      <c r="C199" s="12"/>
      <c r="D199" s="12"/>
      <c r="E199" s="12"/>
      <c r="F199" s="12"/>
      <c r="G199" s="12"/>
      <c r="H199" s="93"/>
      <c r="I199" s="93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</row>
    <row r="200" spans="1:27" ht="15.75" customHeight="1">
      <c r="A200" s="12"/>
      <c r="B200" s="12"/>
      <c r="C200" s="12"/>
      <c r="D200" s="12"/>
      <c r="E200" s="12"/>
      <c r="F200" s="12"/>
      <c r="G200" s="12"/>
      <c r="H200" s="93"/>
      <c r="I200" s="93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</row>
    <row r="201" spans="1:27" ht="15.75" customHeight="1">
      <c r="A201" s="12"/>
      <c r="B201" s="12"/>
      <c r="C201" s="12"/>
      <c r="D201" s="12"/>
      <c r="E201" s="12"/>
      <c r="F201" s="12"/>
      <c r="G201" s="12"/>
      <c r="H201" s="93"/>
      <c r="I201" s="93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</row>
    <row r="202" spans="1:27" ht="15.75" customHeight="1">
      <c r="A202" s="12"/>
      <c r="B202" s="12"/>
      <c r="C202" s="12"/>
      <c r="D202" s="12"/>
      <c r="E202" s="12"/>
      <c r="F202" s="12"/>
      <c r="G202" s="12"/>
      <c r="H202" s="93"/>
      <c r="I202" s="93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</row>
    <row r="203" spans="1:27" ht="15.75" customHeight="1">
      <c r="A203" s="12"/>
      <c r="B203" s="12"/>
      <c r="C203" s="12"/>
      <c r="D203" s="12"/>
      <c r="E203" s="12"/>
      <c r="F203" s="12"/>
      <c r="G203" s="12"/>
      <c r="H203" s="93"/>
      <c r="I203" s="93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</row>
    <row r="204" spans="1:27" ht="15.75" customHeight="1">
      <c r="A204" s="12"/>
      <c r="B204" s="12"/>
      <c r="C204" s="12"/>
      <c r="D204" s="12"/>
      <c r="E204" s="12"/>
      <c r="F204" s="12"/>
      <c r="G204" s="12"/>
      <c r="H204" s="93"/>
      <c r="I204" s="93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</row>
    <row r="205" spans="1:27" ht="15.75" customHeight="1">
      <c r="A205" s="12"/>
      <c r="B205" s="12"/>
      <c r="C205" s="12"/>
      <c r="D205" s="12"/>
      <c r="E205" s="12"/>
      <c r="F205" s="12"/>
      <c r="G205" s="12"/>
      <c r="H205" s="93"/>
      <c r="I205" s="93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</row>
    <row r="206" spans="1:27" ht="15.75" customHeight="1">
      <c r="A206" s="12"/>
      <c r="B206" s="12"/>
      <c r="C206" s="12"/>
      <c r="D206" s="12"/>
      <c r="E206" s="12"/>
      <c r="F206" s="12"/>
      <c r="G206" s="12"/>
      <c r="H206" s="93"/>
      <c r="I206" s="93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</row>
    <row r="207" spans="1:27" ht="15.75" customHeight="1">
      <c r="A207" s="12"/>
      <c r="B207" s="12"/>
      <c r="C207" s="12"/>
      <c r="D207" s="12"/>
      <c r="E207" s="12"/>
      <c r="F207" s="12"/>
      <c r="G207" s="12"/>
      <c r="H207" s="93"/>
      <c r="I207" s="93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</row>
    <row r="208" spans="1:27" ht="15.75" customHeight="1">
      <c r="A208" s="12"/>
      <c r="B208" s="12"/>
      <c r="C208" s="12"/>
      <c r="D208" s="12"/>
      <c r="E208" s="12"/>
      <c r="F208" s="12"/>
      <c r="G208" s="12"/>
      <c r="H208" s="93"/>
      <c r="I208" s="93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</row>
    <row r="209" spans="1:27" ht="15.75" customHeight="1">
      <c r="A209" s="12"/>
      <c r="B209" s="12"/>
      <c r="C209" s="12"/>
      <c r="D209" s="12"/>
      <c r="E209" s="12"/>
      <c r="F209" s="12"/>
      <c r="G209" s="12"/>
      <c r="H209" s="93"/>
      <c r="I209" s="93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</row>
    <row r="210" spans="1:27" ht="15.75" customHeight="1">
      <c r="A210" s="12"/>
      <c r="B210" s="12"/>
      <c r="C210" s="12"/>
      <c r="D210" s="12"/>
      <c r="E210" s="12"/>
      <c r="F210" s="12"/>
      <c r="G210" s="12"/>
      <c r="H210" s="93"/>
      <c r="I210" s="93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</row>
    <row r="211" spans="1:27" ht="15.75" customHeight="1">
      <c r="A211" s="12"/>
      <c r="B211" s="12"/>
      <c r="C211" s="12"/>
      <c r="D211" s="12"/>
      <c r="E211" s="12"/>
      <c r="F211" s="12"/>
      <c r="G211" s="12"/>
      <c r="H211" s="93"/>
      <c r="I211" s="93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</row>
    <row r="212" spans="1:27" ht="15.75" customHeight="1">
      <c r="A212" s="12"/>
      <c r="B212" s="12"/>
      <c r="C212" s="12"/>
      <c r="D212" s="12"/>
      <c r="E212" s="12"/>
      <c r="F212" s="12"/>
      <c r="G212" s="12"/>
      <c r="H212" s="93"/>
      <c r="I212" s="93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</row>
    <row r="213" spans="1:27" ht="15.75" customHeight="1">
      <c r="A213" s="12"/>
      <c r="B213" s="12"/>
      <c r="C213" s="12"/>
      <c r="D213" s="12"/>
      <c r="E213" s="12"/>
      <c r="F213" s="12"/>
      <c r="G213" s="12"/>
      <c r="H213" s="93"/>
      <c r="I213" s="93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</row>
    <row r="214" spans="1:27" ht="15.75" customHeight="1">
      <c r="A214" s="12"/>
      <c r="B214" s="12"/>
      <c r="C214" s="12"/>
      <c r="D214" s="12"/>
      <c r="E214" s="12"/>
      <c r="F214" s="12"/>
      <c r="G214" s="12"/>
      <c r="H214" s="93"/>
      <c r="I214" s="93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</row>
    <row r="215" spans="1:27" ht="15.75" customHeight="1">
      <c r="A215" s="12"/>
      <c r="B215" s="12"/>
      <c r="C215" s="12"/>
      <c r="D215" s="12"/>
      <c r="E215" s="12"/>
      <c r="F215" s="12"/>
      <c r="G215" s="12"/>
      <c r="H215" s="93"/>
      <c r="I215" s="93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</row>
    <row r="216" spans="1:27" ht="15.75" customHeight="1">
      <c r="A216" s="12"/>
      <c r="B216" s="12"/>
      <c r="C216" s="12"/>
      <c r="D216" s="12"/>
      <c r="E216" s="12"/>
      <c r="F216" s="12"/>
      <c r="G216" s="12"/>
      <c r="H216" s="93"/>
      <c r="I216" s="93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</row>
    <row r="217" spans="1:27" ht="15.75" customHeight="1">
      <c r="A217" s="12"/>
      <c r="B217" s="12"/>
      <c r="C217" s="12"/>
      <c r="D217" s="12"/>
      <c r="E217" s="12"/>
      <c r="F217" s="12"/>
      <c r="G217" s="12"/>
      <c r="H217" s="93"/>
      <c r="I217" s="93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</row>
    <row r="218" spans="1:27" ht="15.75" customHeight="1">
      <c r="A218" s="12"/>
      <c r="B218" s="12"/>
      <c r="C218" s="12"/>
      <c r="D218" s="12"/>
      <c r="E218" s="12"/>
      <c r="F218" s="12"/>
      <c r="G218" s="12"/>
      <c r="H218" s="93"/>
      <c r="I218" s="93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</row>
    <row r="219" spans="1:27" ht="15.75" customHeight="1">
      <c r="A219" s="12"/>
      <c r="B219" s="12"/>
      <c r="C219" s="12"/>
      <c r="D219" s="12"/>
      <c r="E219" s="12"/>
      <c r="F219" s="12"/>
      <c r="G219" s="12"/>
      <c r="H219" s="93"/>
      <c r="I219" s="93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</row>
    <row r="220" spans="1:27" ht="15.75" customHeight="1">
      <c r="A220" s="12"/>
      <c r="B220" s="12"/>
      <c r="C220" s="12"/>
      <c r="D220" s="12"/>
      <c r="E220" s="12"/>
      <c r="F220" s="12"/>
      <c r="G220" s="12"/>
      <c r="H220" s="93"/>
      <c r="I220" s="93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</row>
    <row r="221" spans="1:27" ht="15.75" customHeight="1">
      <c r="A221" s="12"/>
      <c r="B221" s="12"/>
      <c r="C221" s="12"/>
      <c r="D221" s="12"/>
      <c r="E221" s="12"/>
      <c r="F221" s="12"/>
      <c r="G221" s="12"/>
      <c r="H221" s="93"/>
      <c r="I221" s="93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</row>
    <row r="222" spans="1:27" ht="12.75">
      <c r="H222" s="93"/>
      <c r="I222" s="93"/>
    </row>
    <row r="223" spans="1:27" ht="12.75">
      <c r="H223" s="93"/>
      <c r="I223" s="93"/>
    </row>
    <row r="224" spans="1:27" ht="12.75">
      <c r="H224" s="93"/>
      <c r="I224" s="93"/>
    </row>
    <row r="225" spans="8:9" ht="12.75">
      <c r="H225" s="93"/>
      <c r="I225" s="93"/>
    </row>
    <row r="226" spans="8:9" ht="12.75">
      <c r="H226" s="93"/>
      <c r="I226" s="93"/>
    </row>
    <row r="227" spans="8:9" ht="12.75">
      <c r="H227" s="93"/>
      <c r="I227" s="93"/>
    </row>
    <row r="228" spans="8:9" ht="12.75">
      <c r="H228" s="93"/>
      <c r="I228" s="93"/>
    </row>
    <row r="229" spans="8:9" ht="12.75">
      <c r="H229" s="93"/>
      <c r="I229" s="93"/>
    </row>
    <row r="230" spans="8:9" ht="12.75">
      <c r="H230" s="93"/>
      <c r="I230" s="93"/>
    </row>
    <row r="231" spans="8:9" ht="12.75">
      <c r="H231" s="93"/>
      <c r="I231" s="93"/>
    </row>
    <row r="232" spans="8:9" ht="12.75">
      <c r="H232" s="93"/>
      <c r="I232" s="93"/>
    </row>
    <row r="233" spans="8:9" ht="12.75">
      <c r="H233" s="93"/>
      <c r="I233" s="93"/>
    </row>
    <row r="234" spans="8:9" ht="12.75">
      <c r="H234" s="93"/>
      <c r="I234" s="93"/>
    </row>
    <row r="235" spans="8:9" ht="12.75">
      <c r="H235" s="93"/>
      <c r="I235" s="93"/>
    </row>
    <row r="236" spans="8:9" ht="12.75">
      <c r="H236" s="93"/>
      <c r="I236" s="93"/>
    </row>
    <row r="237" spans="8:9" ht="12.75">
      <c r="H237" s="93"/>
      <c r="I237" s="93"/>
    </row>
    <row r="238" spans="8:9" ht="12.75">
      <c r="H238" s="93"/>
      <c r="I238" s="93"/>
    </row>
    <row r="239" spans="8:9" ht="12.75">
      <c r="H239" s="93"/>
      <c r="I239" s="93"/>
    </row>
    <row r="240" spans="8:9" ht="12.75">
      <c r="H240" s="93"/>
      <c r="I240" s="93"/>
    </row>
    <row r="241" spans="8:9" ht="12.75">
      <c r="H241" s="93"/>
      <c r="I241" s="93"/>
    </row>
    <row r="242" spans="8:9" ht="12.75">
      <c r="H242" s="93"/>
      <c r="I242" s="93"/>
    </row>
    <row r="243" spans="8:9" ht="12.75">
      <c r="H243" s="93"/>
      <c r="I243" s="93"/>
    </row>
    <row r="244" spans="8:9" ht="12.75">
      <c r="H244" s="93"/>
      <c r="I244" s="93"/>
    </row>
    <row r="245" spans="8:9" ht="12.75">
      <c r="H245" s="93"/>
      <c r="I245" s="93"/>
    </row>
    <row r="246" spans="8:9" ht="12.75">
      <c r="H246" s="93"/>
      <c r="I246" s="93"/>
    </row>
    <row r="247" spans="8:9" ht="12.75">
      <c r="H247" s="93"/>
      <c r="I247" s="93"/>
    </row>
    <row r="248" spans="8:9" ht="12.75">
      <c r="H248" s="93"/>
      <c r="I248" s="93"/>
    </row>
    <row r="249" spans="8:9" ht="12.75">
      <c r="H249" s="93"/>
      <c r="I249" s="93"/>
    </row>
    <row r="250" spans="8:9" ht="12.75">
      <c r="H250" s="93"/>
      <c r="I250" s="93"/>
    </row>
    <row r="251" spans="8:9" ht="12.75">
      <c r="H251" s="93"/>
      <c r="I251" s="93"/>
    </row>
    <row r="252" spans="8:9" ht="12.75">
      <c r="H252" s="93"/>
      <c r="I252" s="93"/>
    </row>
    <row r="253" spans="8:9" ht="12.75">
      <c r="H253" s="93"/>
      <c r="I253" s="93"/>
    </row>
    <row r="254" spans="8:9" ht="12.75">
      <c r="H254" s="93"/>
      <c r="I254" s="93"/>
    </row>
    <row r="255" spans="8:9" ht="12.75">
      <c r="H255" s="93"/>
      <c r="I255" s="93"/>
    </row>
    <row r="256" spans="8:9" ht="12.75">
      <c r="H256" s="93"/>
      <c r="I256" s="93"/>
    </row>
    <row r="257" spans="8:9" ht="12.75">
      <c r="H257" s="93"/>
      <c r="I257" s="93"/>
    </row>
    <row r="258" spans="8:9" ht="12.75">
      <c r="H258" s="93"/>
      <c r="I258" s="93"/>
    </row>
    <row r="259" spans="8:9" ht="12.75">
      <c r="H259" s="93"/>
      <c r="I259" s="93"/>
    </row>
    <row r="260" spans="8:9" ht="12.75">
      <c r="H260" s="93"/>
      <c r="I260" s="93"/>
    </row>
    <row r="261" spans="8:9" ht="12.75">
      <c r="H261" s="93"/>
      <c r="I261" s="93"/>
    </row>
    <row r="262" spans="8:9" ht="12.75">
      <c r="H262" s="93"/>
      <c r="I262" s="93"/>
    </row>
    <row r="263" spans="8:9" ht="12.75">
      <c r="H263" s="93"/>
      <c r="I263" s="93"/>
    </row>
    <row r="264" spans="8:9" ht="12.75">
      <c r="H264" s="93"/>
      <c r="I264" s="93"/>
    </row>
    <row r="265" spans="8:9" ht="12.75">
      <c r="H265" s="93"/>
      <c r="I265" s="93"/>
    </row>
    <row r="266" spans="8:9" ht="12.75">
      <c r="H266" s="93"/>
      <c r="I266" s="93"/>
    </row>
    <row r="267" spans="8:9" ht="12.75">
      <c r="H267" s="93"/>
      <c r="I267" s="93"/>
    </row>
    <row r="268" spans="8:9" ht="12.75">
      <c r="H268" s="93"/>
      <c r="I268" s="93"/>
    </row>
    <row r="269" spans="8:9" ht="12.75">
      <c r="H269" s="93"/>
      <c r="I269" s="93"/>
    </row>
    <row r="270" spans="8:9" ht="12.75">
      <c r="H270" s="93"/>
      <c r="I270" s="93"/>
    </row>
    <row r="271" spans="8:9" ht="12.75">
      <c r="H271" s="93"/>
      <c r="I271" s="93"/>
    </row>
    <row r="272" spans="8:9" ht="12.75">
      <c r="H272" s="93"/>
      <c r="I272" s="93"/>
    </row>
    <row r="273" spans="8:9" ht="12.75">
      <c r="H273" s="93"/>
      <c r="I273" s="93"/>
    </row>
    <row r="274" spans="8:9" ht="12.75">
      <c r="H274" s="93"/>
      <c r="I274" s="93"/>
    </row>
    <row r="275" spans="8:9" ht="12.75">
      <c r="H275" s="93"/>
      <c r="I275" s="93"/>
    </row>
    <row r="276" spans="8:9" ht="12.75">
      <c r="H276" s="93"/>
      <c r="I276" s="93"/>
    </row>
    <row r="277" spans="8:9" ht="12.75">
      <c r="H277" s="93"/>
      <c r="I277" s="93"/>
    </row>
    <row r="278" spans="8:9" ht="12.75">
      <c r="H278" s="93"/>
      <c r="I278" s="93"/>
    </row>
    <row r="279" spans="8:9" ht="12.75">
      <c r="H279" s="93"/>
      <c r="I279" s="93"/>
    </row>
    <row r="280" spans="8:9" ht="12.75">
      <c r="H280" s="93"/>
      <c r="I280" s="93"/>
    </row>
    <row r="281" spans="8:9" ht="12.75">
      <c r="H281" s="93"/>
      <c r="I281" s="93"/>
    </row>
    <row r="282" spans="8:9" ht="12.75">
      <c r="H282" s="93"/>
      <c r="I282" s="93"/>
    </row>
    <row r="283" spans="8:9" ht="12.75">
      <c r="H283" s="93"/>
      <c r="I283" s="93"/>
    </row>
    <row r="284" spans="8:9" ht="12.75">
      <c r="H284" s="93"/>
      <c r="I284" s="93"/>
    </row>
    <row r="285" spans="8:9" ht="12.75">
      <c r="H285" s="93"/>
      <c r="I285" s="93"/>
    </row>
    <row r="286" spans="8:9" ht="12.75">
      <c r="H286" s="93"/>
      <c r="I286" s="93"/>
    </row>
    <row r="287" spans="8:9" ht="12.75">
      <c r="H287" s="93"/>
      <c r="I287" s="93"/>
    </row>
    <row r="288" spans="8:9" ht="12.75">
      <c r="H288" s="93"/>
      <c r="I288" s="93"/>
    </row>
    <row r="289" spans="8:9" ht="12.75">
      <c r="H289" s="93"/>
      <c r="I289" s="93"/>
    </row>
    <row r="290" spans="8:9" ht="12.75">
      <c r="H290" s="93"/>
      <c r="I290" s="93"/>
    </row>
    <row r="291" spans="8:9" ht="12.75">
      <c r="H291" s="93"/>
      <c r="I291" s="93"/>
    </row>
    <row r="292" spans="8:9" ht="12.75">
      <c r="H292" s="93"/>
      <c r="I292" s="93"/>
    </row>
    <row r="293" spans="8:9" ht="12.75">
      <c r="H293" s="93"/>
      <c r="I293" s="93"/>
    </row>
    <row r="294" spans="8:9" ht="12.75">
      <c r="H294" s="93"/>
      <c r="I294" s="93"/>
    </row>
    <row r="295" spans="8:9" ht="12.75">
      <c r="H295" s="93"/>
      <c r="I295" s="93"/>
    </row>
    <row r="296" spans="8:9" ht="12.75">
      <c r="H296" s="93"/>
      <c r="I296" s="93"/>
    </row>
    <row r="297" spans="8:9" ht="12.75">
      <c r="H297" s="93"/>
      <c r="I297" s="93"/>
    </row>
    <row r="298" spans="8:9" ht="12.75">
      <c r="H298" s="93"/>
      <c r="I298" s="93"/>
    </row>
    <row r="299" spans="8:9" ht="12.75">
      <c r="H299" s="93"/>
      <c r="I299" s="93"/>
    </row>
    <row r="300" spans="8:9" ht="12.75">
      <c r="H300" s="93"/>
      <c r="I300" s="93"/>
    </row>
    <row r="301" spans="8:9" ht="12.75">
      <c r="H301" s="93"/>
      <c r="I301" s="93"/>
    </row>
    <row r="302" spans="8:9" ht="12.75">
      <c r="H302" s="93"/>
      <c r="I302" s="93"/>
    </row>
    <row r="303" spans="8:9" ht="12.75">
      <c r="H303" s="93"/>
      <c r="I303" s="93"/>
    </row>
    <row r="304" spans="8:9" ht="12.75">
      <c r="H304" s="93"/>
      <c r="I304" s="93"/>
    </row>
    <row r="305" spans="8:9" ht="12.75">
      <c r="H305" s="93"/>
      <c r="I305" s="93"/>
    </row>
    <row r="306" spans="8:9" ht="12.75">
      <c r="H306" s="93"/>
      <c r="I306" s="93"/>
    </row>
    <row r="307" spans="8:9" ht="12.75">
      <c r="H307" s="93"/>
      <c r="I307" s="93"/>
    </row>
    <row r="308" spans="8:9" ht="12.75">
      <c r="H308" s="93"/>
      <c r="I308" s="93"/>
    </row>
    <row r="309" spans="8:9" ht="12.75">
      <c r="H309" s="93"/>
      <c r="I309" s="93"/>
    </row>
    <row r="310" spans="8:9" ht="12.75">
      <c r="H310" s="93"/>
      <c r="I310" s="93"/>
    </row>
    <row r="311" spans="8:9" ht="12.75">
      <c r="H311" s="93"/>
      <c r="I311" s="93"/>
    </row>
    <row r="312" spans="8:9" ht="12.75">
      <c r="H312" s="93"/>
      <c r="I312" s="93"/>
    </row>
    <row r="313" spans="8:9" ht="12.75">
      <c r="H313" s="93"/>
      <c r="I313" s="93"/>
    </row>
    <row r="314" spans="8:9" ht="12.75">
      <c r="H314" s="93"/>
      <c r="I314" s="93"/>
    </row>
    <row r="315" spans="8:9" ht="12.75">
      <c r="H315" s="93"/>
      <c r="I315" s="93"/>
    </row>
    <row r="316" spans="8:9" ht="12.75">
      <c r="H316" s="93"/>
      <c r="I316" s="93"/>
    </row>
    <row r="317" spans="8:9" ht="12.75">
      <c r="H317" s="93"/>
      <c r="I317" s="93"/>
    </row>
    <row r="318" spans="8:9" ht="12.75">
      <c r="H318" s="93"/>
      <c r="I318" s="93"/>
    </row>
    <row r="319" spans="8:9" ht="12.75">
      <c r="H319" s="93"/>
      <c r="I319" s="93"/>
    </row>
    <row r="320" spans="8:9" ht="12.75">
      <c r="H320" s="93"/>
      <c r="I320" s="93"/>
    </row>
    <row r="321" spans="8:9" ht="12.75">
      <c r="H321" s="93"/>
      <c r="I321" s="93"/>
    </row>
    <row r="322" spans="8:9" ht="12.75">
      <c r="H322" s="93"/>
      <c r="I322" s="93"/>
    </row>
    <row r="323" spans="8:9" ht="12.75">
      <c r="H323" s="93"/>
      <c r="I323" s="93"/>
    </row>
    <row r="324" spans="8:9" ht="12.75">
      <c r="H324" s="93"/>
      <c r="I324" s="93"/>
    </row>
    <row r="325" spans="8:9" ht="12.75">
      <c r="H325" s="93"/>
      <c r="I325" s="93"/>
    </row>
    <row r="326" spans="8:9" ht="12.75">
      <c r="H326" s="93"/>
      <c r="I326" s="93"/>
    </row>
    <row r="327" spans="8:9" ht="12.75">
      <c r="H327" s="93"/>
      <c r="I327" s="93"/>
    </row>
    <row r="328" spans="8:9" ht="12.75">
      <c r="H328" s="93"/>
      <c r="I328" s="93"/>
    </row>
    <row r="329" spans="8:9" ht="12.75">
      <c r="H329" s="93"/>
      <c r="I329" s="93"/>
    </row>
    <row r="330" spans="8:9" ht="12.75">
      <c r="H330" s="93"/>
      <c r="I330" s="93"/>
    </row>
    <row r="331" spans="8:9" ht="12.75">
      <c r="H331" s="93"/>
      <c r="I331" s="93"/>
    </row>
    <row r="332" spans="8:9" ht="12.75">
      <c r="H332" s="93"/>
      <c r="I332" s="93"/>
    </row>
    <row r="333" spans="8:9" ht="12.75">
      <c r="H333" s="93"/>
      <c r="I333" s="93"/>
    </row>
    <row r="334" spans="8:9" ht="12.75">
      <c r="H334" s="93"/>
      <c r="I334" s="93"/>
    </row>
    <row r="335" spans="8:9" ht="12.75">
      <c r="H335" s="93"/>
      <c r="I335" s="93"/>
    </row>
    <row r="336" spans="8:9" ht="12.75">
      <c r="H336" s="93"/>
      <c r="I336" s="93"/>
    </row>
    <row r="337" spans="8:9" ht="12.75">
      <c r="H337" s="93"/>
      <c r="I337" s="93"/>
    </row>
    <row r="338" spans="8:9" ht="12.75">
      <c r="H338" s="93"/>
      <c r="I338" s="93"/>
    </row>
    <row r="339" spans="8:9" ht="12.75">
      <c r="H339" s="93"/>
      <c r="I339" s="93"/>
    </row>
    <row r="340" spans="8:9" ht="12.75">
      <c r="H340" s="93"/>
      <c r="I340" s="93"/>
    </row>
    <row r="341" spans="8:9" ht="12.75">
      <c r="H341" s="93"/>
      <c r="I341" s="93"/>
    </row>
    <row r="342" spans="8:9" ht="12.75">
      <c r="H342" s="93"/>
      <c r="I342" s="93"/>
    </row>
    <row r="343" spans="8:9" ht="12.75">
      <c r="H343" s="93"/>
      <c r="I343" s="93"/>
    </row>
    <row r="344" spans="8:9" ht="12.75">
      <c r="H344" s="93"/>
      <c r="I344" s="93"/>
    </row>
    <row r="345" spans="8:9" ht="12.75">
      <c r="H345" s="93"/>
      <c r="I345" s="93"/>
    </row>
    <row r="346" spans="8:9" ht="12.75">
      <c r="H346" s="93"/>
      <c r="I346" s="93"/>
    </row>
    <row r="347" spans="8:9" ht="12.75">
      <c r="H347" s="93"/>
      <c r="I347" s="93"/>
    </row>
    <row r="348" spans="8:9" ht="12.75">
      <c r="H348" s="93"/>
      <c r="I348" s="93"/>
    </row>
    <row r="349" spans="8:9" ht="12.75">
      <c r="H349" s="93"/>
      <c r="I349" s="93"/>
    </row>
    <row r="350" spans="8:9" ht="12.75">
      <c r="H350" s="93"/>
      <c r="I350" s="93"/>
    </row>
    <row r="351" spans="8:9" ht="12.75">
      <c r="H351" s="93"/>
      <c r="I351" s="93"/>
    </row>
    <row r="352" spans="8:9" ht="12.75">
      <c r="H352" s="93"/>
      <c r="I352" s="93"/>
    </row>
    <row r="353" spans="8:9" ht="12.75">
      <c r="H353" s="93"/>
      <c r="I353" s="93"/>
    </row>
    <row r="354" spans="8:9" ht="12.75">
      <c r="H354" s="93"/>
      <c r="I354" s="93"/>
    </row>
    <row r="355" spans="8:9" ht="12.75">
      <c r="H355" s="93"/>
      <c r="I355" s="93"/>
    </row>
    <row r="356" spans="8:9" ht="12.75">
      <c r="H356" s="93"/>
      <c r="I356" s="93"/>
    </row>
    <row r="357" spans="8:9" ht="12.75">
      <c r="H357" s="93"/>
      <c r="I357" s="93"/>
    </row>
    <row r="358" spans="8:9" ht="12.75">
      <c r="H358" s="93"/>
      <c r="I358" s="93"/>
    </row>
    <row r="359" spans="8:9" ht="12.75">
      <c r="H359" s="93"/>
      <c r="I359" s="93"/>
    </row>
    <row r="360" spans="8:9" ht="12.75">
      <c r="H360" s="93"/>
      <c r="I360" s="93"/>
    </row>
    <row r="361" spans="8:9" ht="12.75">
      <c r="H361" s="93"/>
      <c r="I361" s="93"/>
    </row>
    <row r="362" spans="8:9" ht="12.75">
      <c r="H362" s="93"/>
      <c r="I362" s="93"/>
    </row>
    <row r="363" spans="8:9" ht="12.75">
      <c r="H363" s="93"/>
      <c r="I363" s="93"/>
    </row>
    <row r="364" spans="8:9" ht="12.75">
      <c r="H364" s="93"/>
      <c r="I364" s="93"/>
    </row>
    <row r="365" spans="8:9" ht="12.75">
      <c r="H365" s="93"/>
      <c r="I365" s="93"/>
    </row>
    <row r="366" spans="8:9" ht="12.75">
      <c r="H366" s="93"/>
      <c r="I366" s="93"/>
    </row>
    <row r="367" spans="8:9" ht="12.75">
      <c r="H367" s="93"/>
      <c r="I367" s="93"/>
    </row>
    <row r="368" spans="8:9" ht="12.75">
      <c r="H368" s="93"/>
      <c r="I368" s="93"/>
    </row>
    <row r="369" spans="8:9" ht="12.75">
      <c r="H369" s="93"/>
      <c r="I369" s="93"/>
    </row>
    <row r="370" spans="8:9" ht="12.75">
      <c r="H370" s="93"/>
      <c r="I370" s="93"/>
    </row>
    <row r="371" spans="8:9" ht="12.75">
      <c r="H371" s="93"/>
      <c r="I371" s="93"/>
    </row>
    <row r="372" spans="8:9" ht="12.75">
      <c r="H372" s="93"/>
      <c r="I372" s="93"/>
    </row>
    <row r="373" spans="8:9" ht="12.75">
      <c r="H373" s="93"/>
      <c r="I373" s="93"/>
    </row>
    <row r="374" spans="8:9" ht="12.75">
      <c r="H374" s="93"/>
      <c r="I374" s="93"/>
    </row>
    <row r="375" spans="8:9" ht="12.75">
      <c r="H375" s="93"/>
      <c r="I375" s="93"/>
    </row>
    <row r="376" spans="8:9" ht="12.75">
      <c r="H376" s="93"/>
      <c r="I376" s="93"/>
    </row>
    <row r="377" spans="8:9" ht="12.75">
      <c r="H377" s="93"/>
      <c r="I377" s="93"/>
    </row>
    <row r="378" spans="8:9" ht="12.75">
      <c r="H378" s="93"/>
      <c r="I378" s="93"/>
    </row>
    <row r="379" spans="8:9" ht="12.75">
      <c r="H379" s="93"/>
      <c r="I379" s="93"/>
    </row>
    <row r="380" spans="8:9" ht="12.75">
      <c r="H380" s="93"/>
      <c r="I380" s="93"/>
    </row>
    <row r="381" spans="8:9" ht="12.75">
      <c r="H381" s="93"/>
      <c r="I381" s="93"/>
    </row>
    <row r="382" spans="8:9" ht="12.75">
      <c r="H382" s="93"/>
      <c r="I382" s="93"/>
    </row>
    <row r="383" spans="8:9" ht="12.75">
      <c r="H383" s="93"/>
      <c r="I383" s="93"/>
    </row>
    <row r="384" spans="8:9" ht="12.75">
      <c r="H384" s="93"/>
      <c r="I384" s="93"/>
    </row>
    <row r="385" spans="8:9" ht="12.75">
      <c r="H385" s="93"/>
      <c r="I385" s="93"/>
    </row>
    <row r="386" spans="8:9" ht="12.75">
      <c r="H386" s="93"/>
      <c r="I386" s="93"/>
    </row>
    <row r="387" spans="8:9" ht="12.75">
      <c r="H387" s="93"/>
      <c r="I387" s="93"/>
    </row>
    <row r="388" spans="8:9" ht="12.75">
      <c r="H388" s="93"/>
      <c r="I388" s="93"/>
    </row>
    <row r="389" spans="8:9" ht="12.75">
      <c r="H389" s="93"/>
      <c r="I389" s="93"/>
    </row>
    <row r="390" spans="8:9" ht="12.75">
      <c r="H390" s="93"/>
      <c r="I390" s="93"/>
    </row>
    <row r="391" spans="8:9" ht="12.75">
      <c r="H391" s="93"/>
      <c r="I391" s="93"/>
    </row>
    <row r="392" spans="8:9" ht="12.75">
      <c r="H392" s="93"/>
      <c r="I392" s="93"/>
    </row>
    <row r="393" spans="8:9" ht="12.75">
      <c r="H393" s="93"/>
      <c r="I393" s="93"/>
    </row>
    <row r="394" spans="8:9" ht="12.75">
      <c r="H394" s="93"/>
      <c r="I394" s="93"/>
    </row>
    <row r="395" spans="8:9" ht="12.75">
      <c r="H395" s="93"/>
      <c r="I395" s="93"/>
    </row>
    <row r="396" spans="8:9" ht="12.75">
      <c r="H396" s="93"/>
      <c r="I396" s="93"/>
    </row>
    <row r="397" spans="8:9" ht="12.75">
      <c r="H397" s="93"/>
      <c r="I397" s="93"/>
    </row>
    <row r="398" spans="8:9" ht="12.75">
      <c r="H398" s="93"/>
      <c r="I398" s="93"/>
    </row>
    <row r="399" spans="8:9" ht="12.75">
      <c r="H399" s="93"/>
      <c r="I399" s="93"/>
    </row>
    <row r="400" spans="8:9" ht="12.75">
      <c r="H400" s="93"/>
      <c r="I400" s="93"/>
    </row>
    <row r="401" spans="8:9" ht="12.75">
      <c r="H401" s="93"/>
      <c r="I401" s="93"/>
    </row>
    <row r="402" spans="8:9" ht="12.75">
      <c r="H402" s="93"/>
      <c r="I402" s="93"/>
    </row>
    <row r="403" spans="8:9" ht="12.75">
      <c r="H403" s="93"/>
      <c r="I403" s="93"/>
    </row>
    <row r="404" spans="8:9" ht="12.75">
      <c r="H404" s="93"/>
      <c r="I404" s="93"/>
    </row>
    <row r="405" spans="8:9" ht="12.75">
      <c r="H405" s="93"/>
      <c r="I405" s="93"/>
    </row>
    <row r="406" spans="8:9" ht="12.75">
      <c r="H406" s="93"/>
      <c r="I406" s="93"/>
    </row>
    <row r="407" spans="8:9" ht="12.75">
      <c r="H407" s="93"/>
      <c r="I407" s="93"/>
    </row>
    <row r="408" spans="8:9" ht="12.75">
      <c r="H408" s="93"/>
      <c r="I408" s="93"/>
    </row>
    <row r="409" spans="8:9" ht="12.75">
      <c r="H409" s="93"/>
      <c r="I409" s="93"/>
    </row>
    <row r="410" spans="8:9" ht="12.75">
      <c r="H410" s="93"/>
      <c r="I410" s="93"/>
    </row>
    <row r="411" spans="8:9" ht="12.75">
      <c r="H411" s="93"/>
      <c r="I411" s="93"/>
    </row>
    <row r="412" spans="8:9" ht="12.75">
      <c r="H412" s="93"/>
      <c r="I412" s="93"/>
    </row>
    <row r="413" spans="8:9" ht="12.75">
      <c r="H413" s="93"/>
      <c r="I413" s="93"/>
    </row>
    <row r="414" spans="8:9" ht="12.75">
      <c r="H414" s="93"/>
      <c r="I414" s="93"/>
    </row>
    <row r="415" spans="8:9" ht="12.75">
      <c r="H415" s="93"/>
      <c r="I415" s="93"/>
    </row>
    <row r="416" spans="8:9" ht="12.75">
      <c r="H416" s="93"/>
      <c r="I416" s="93"/>
    </row>
    <row r="417" spans="8:9" ht="12.75">
      <c r="H417" s="93"/>
      <c r="I417" s="93"/>
    </row>
    <row r="418" spans="8:9" ht="12.75">
      <c r="H418" s="93"/>
      <c r="I418" s="93"/>
    </row>
    <row r="419" spans="8:9" ht="12.75">
      <c r="H419" s="93"/>
      <c r="I419" s="93"/>
    </row>
    <row r="420" spans="8:9" ht="12.75">
      <c r="H420" s="93"/>
      <c r="I420" s="93"/>
    </row>
    <row r="421" spans="8:9" ht="12.75">
      <c r="H421" s="93"/>
      <c r="I421" s="93"/>
    </row>
    <row r="422" spans="8:9" ht="12.75">
      <c r="H422" s="93"/>
      <c r="I422" s="93"/>
    </row>
    <row r="423" spans="8:9" ht="12.75">
      <c r="H423" s="93"/>
      <c r="I423" s="93"/>
    </row>
    <row r="424" spans="8:9" ht="12.75">
      <c r="H424" s="93"/>
      <c r="I424" s="93"/>
    </row>
    <row r="425" spans="8:9" ht="12.75">
      <c r="H425" s="93"/>
      <c r="I425" s="93"/>
    </row>
    <row r="426" spans="8:9" ht="12.75">
      <c r="H426" s="93"/>
      <c r="I426" s="93"/>
    </row>
    <row r="427" spans="8:9" ht="12.75">
      <c r="H427" s="93"/>
      <c r="I427" s="93"/>
    </row>
    <row r="428" spans="8:9" ht="12.75">
      <c r="H428" s="93"/>
      <c r="I428" s="93"/>
    </row>
    <row r="429" spans="8:9" ht="12.75">
      <c r="H429" s="93"/>
      <c r="I429" s="93"/>
    </row>
    <row r="430" spans="8:9" ht="12.75">
      <c r="H430" s="93"/>
      <c r="I430" s="93"/>
    </row>
    <row r="431" spans="8:9" ht="12.75">
      <c r="H431" s="93"/>
      <c r="I431" s="93"/>
    </row>
    <row r="432" spans="8:9" ht="12.75">
      <c r="H432" s="93"/>
      <c r="I432" s="93"/>
    </row>
    <row r="433" spans="8:9" ht="12.75">
      <c r="H433" s="93"/>
      <c r="I433" s="93"/>
    </row>
    <row r="434" spans="8:9" ht="12.75">
      <c r="H434" s="93"/>
      <c r="I434" s="93"/>
    </row>
    <row r="435" spans="8:9" ht="12.75">
      <c r="H435" s="93"/>
      <c r="I435" s="93"/>
    </row>
    <row r="436" spans="8:9" ht="12.75">
      <c r="H436" s="93"/>
      <c r="I436" s="93"/>
    </row>
    <row r="437" spans="8:9" ht="12.75">
      <c r="H437" s="93"/>
      <c r="I437" s="93"/>
    </row>
    <row r="438" spans="8:9" ht="12.75">
      <c r="H438" s="93"/>
      <c r="I438" s="93"/>
    </row>
    <row r="439" spans="8:9" ht="12.75">
      <c r="H439" s="93"/>
      <c r="I439" s="93"/>
    </row>
    <row r="440" spans="8:9" ht="12.75">
      <c r="H440" s="93"/>
      <c r="I440" s="93"/>
    </row>
    <row r="441" spans="8:9" ht="12.75">
      <c r="H441" s="93"/>
      <c r="I441" s="93"/>
    </row>
    <row r="442" spans="8:9" ht="12.75">
      <c r="H442" s="93"/>
      <c r="I442" s="93"/>
    </row>
    <row r="443" spans="8:9" ht="12.75">
      <c r="H443" s="93"/>
      <c r="I443" s="93"/>
    </row>
    <row r="444" spans="8:9" ht="12.75">
      <c r="H444" s="93"/>
      <c r="I444" s="93"/>
    </row>
    <row r="445" spans="8:9" ht="12.75">
      <c r="H445" s="93"/>
      <c r="I445" s="93"/>
    </row>
    <row r="446" spans="8:9" ht="12.75">
      <c r="H446" s="93"/>
      <c r="I446" s="93"/>
    </row>
    <row r="447" spans="8:9" ht="12.75">
      <c r="H447" s="93"/>
      <c r="I447" s="93"/>
    </row>
    <row r="448" spans="8:9" ht="12.75">
      <c r="H448" s="93"/>
      <c r="I448" s="93"/>
    </row>
    <row r="449" spans="8:9" ht="12.75">
      <c r="H449" s="93"/>
      <c r="I449" s="93"/>
    </row>
    <row r="450" spans="8:9" ht="12.75">
      <c r="H450" s="93"/>
      <c r="I450" s="93"/>
    </row>
    <row r="451" spans="8:9" ht="12.75">
      <c r="H451" s="93"/>
      <c r="I451" s="93"/>
    </row>
    <row r="452" spans="8:9" ht="12.75">
      <c r="H452" s="93"/>
      <c r="I452" s="93"/>
    </row>
    <row r="453" spans="8:9" ht="12.75">
      <c r="H453" s="93"/>
      <c r="I453" s="93"/>
    </row>
    <row r="454" spans="8:9" ht="12.75">
      <c r="H454" s="93"/>
      <c r="I454" s="93"/>
    </row>
    <row r="455" spans="8:9" ht="12.75">
      <c r="H455" s="93"/>
      <c r="I455" s="93"/>
    </row>
    <row r="456" spans="8:9" ht="12.75">
      <c r="H456" s="93"/>
      <c r="I456" s="93"/>
    </row>
    <row r="457" spans="8:9" ht="12.75">
      <c r="H457" s="93"/>
      <c r="I457" s="93"/>
    </row>
    <row r="458" spans="8:9" ht="12.75">
      <c r="H458" s="93"/>
      <c r="I458" s="93"/>
    </row>
    <row r="459" spans="8:9" ht="12.75">
      <c r="H459" s="93"/>
      <c r="I459" s="93"/>
    </row>
    <row r="460" spans="8:9" ht="12.75">
      <c r="H460" s="93"/>
      <c r="I460" s="93"/>
    </row>
    <row r="461" spans="8:9" ht="12.75">
      <c r="H461" s="93"/>
      <c r="I461" s="93"/>
    </row>
    <row r="462" spans="8:9" ht="12.75">
      <c r="H462" s="93"/>
      <c r="I462" s="93"/>
    </row>
    <row r="463" spans="8:9" ht="12.75">
      <c r="H463" s="93"/>
      <c r="I463" s="93"/>
    </row>
    <row r="464" spans="8:9" ht="12.75">
      <c r="H464" s="93"/>
      <c r="I464" s="93"/>
    </row>
    <row r="465" spans="8:9" ht="12.75">
      <c r="H465" s="93"/>
      <c r="I465" s="93"/>
    </row>
    <row r="466" spans="8:9" ht="12.75">
      <c r="H466" s="93"/>
      <c r="I466" s="93"/>
    </row>
    <row r="467" spans="8:9" ht="12.75">
      <c r="H467" s="93"/>
      <c r="I467" s="93"/>
    </row>
    <row r="468" spans="8:9" ht="12.75">
      <c r="H468" s="93"/>
      <c r="I468" s="93"/>
    </row>
    <row r="469" spans="8:9" ht="12.75">
      <c r="H469" s="93"/>
      <c r="I469" s="93"/>
    </row>
    <row r="470" spans="8:9" ht="12.75">
      <c r="H470" s="93"/>
      <c r="I470" s="93"/>
    </row>
    <row r="471" spans="8:9" ht="12.75">
      <c r="H471" s="93"/>
      <c r="I471" s="93"/>
    </row>
    <row r="472" spans="8:9" ht="12.75">
      <c r="H472" s="93"/>
      <c r="I472" s="93"/>
    </row>
    <row r="473" spans="8:9" ht="12.75">
      <c r="H473" s="93"/>
      <c r="I473" s="93"/>
    </row>
    <row r="474" spans="8:9" ht="12.75">
      <c r="H474" s="93"/>
      <c r="I474" s="93"/>
    </row>
    <row r="475" spans="8:9" ht="12.75">
      <c r="H475" s="93"/>
      <c r="I475" s="93"/>
    </row>
    <row r="476" spans="8:9" ht="12.75">
      <c r="H476" s="93"/>
      <c r="I476" s="93"/>
    </row>
    <row r="477" spans="8:9" ht="12.75">
      <c r="H477" s="93"/>
      <c r="I477" s="93"/>
    </row>
    <row r="478" spans="8:9" ht="12.75">
      <c r="H478" s="93"/>
      <c r="I478" s="93"/>
    </row>
    <row r="479" spans="8:9" ht="12.75">
      <c r="H479" s="93"/>
      <c r="I479" s="93"/>
    </row>
    <row r="480" spans="8:9" ht="12.75">
      <c r="H480" s="93"/>
      <c r="I480" s="93"/>
    </row>
    <row r="481" spans="8:9" ht="12.75">
      <c r="H481" s="93"/>
      <c r="I481" s="93"/>
    </row>
    <row r="482" spans="8:9" ht="12.75">
      <c r="H482" s="93"/>
      <c r="I482" s="93"/>
    </row>
    <row r="483" spans="8:9" ht="12.75">
      <c r="H483" s="93"/>
      <c r="I483" s="93"/>
    </row>
    <row r="484" spans="8:9" ht="12.75">
      <c r="H484" s="93"/>
      <c r="I484" s="93"/>
    </row>
    <row r="485" spans="8:9" ht="12.75">
      <c r="H485" s="93"/>
      <c r="I485" s="93"/>
    </row>
    <row r="486" spans="8:9" ht="12.75">
      <c r="H486" s="93"/>
      <c r="I486" s="93"/>
    </row>
    <row r="487" spans="8:9" ht="12.75">
      <c r="H487" s="93"/>
      <c r="I487" s="93"/>
    </row>
    <row r="488" spans="8:9" ht="12.75">
      <c r="H488" s="93"/>
      <c r="I488" s="93"/>
    </row>
    <row r="489" spans="8:9" ht="12.75">
      <c r="H489" s="93"/>
      <c r="I489" s="93"/>
    </row>
    <row r="490" spans="8:9" ht="12.75">
      <c r="H490" s="93"/>
      <c r="I490" s="93"/>
    </row>
    <row r="491" spans="8:9" ht="12.75">
      <c r="H491" s="93"/>
      <c r="I491" s="93"/>
    </row>
    <row r="492" spans="8:9" ht="12.75">
      <c r="H492" s="93"/>
      <c r="I492" s="93"/>
    </row>
    <row r="493" spans="8:9" ht="12.75">
      <c r="H493" s="93"/>
      <c r="I493" s="93"/>
    </row>
    <row r="494" spans="8:9" ht="12.75">
      <c r="H494" s="93"/>
      <c r="I494" s="93"/>
    </row>
    <row r="495" spans="8:9" ht="12.75">
      <c r="H495" s="93"/>
      <c r="I495" s="93"/>
    </row>
    <row r="496" spans="8:9" ht="12.75">
      <c r="H496" s="93"/>
      <c r="I496" s="93"/>
    </row>
    <row r="497" spans="8:9" ht="12.75">
      <c r="H497" s="93"/>
      <c r="I497" s="93"/>
    </row>
    <row r="498" spans="8:9" ht="12.75">
      <c r="H498" s="93"/>
      <c r="I498" s="93"/>
    </row>
    <row r="499" spans="8:9" ht="12.75">
      <c r="H499" s="93"/>
      <c r="I499" s="93"/>
    </row>
    <row r="500" spans="8:9" ht="12.75">
      <c r="H500" s="93"/>
      <c r="I500" s="93"/>
    </row>
    <row r="501" spans="8:9" ht="12.75">
      <c r="H501" s="93"/>
      <c r="I501" s="93"/>
    </row>
    <row r="502" spans="8:9" ht="12.75">
      <c r="H502" s="93"/>
      <c r="I502" s="93"/>
    </row>
    <row r="503" spans="8:9" ht="12.75">
      <c r="H503" s="93"/>
      <c r="I503" s="93"/>
    </row>
    <row r="504" spans="8:9" ht="12.75">
      <c r="H504" s="93"/>
      <c r="I504" s="93"/>
    </row>
    <row r="505" spans="8:9" ht="12.75">
      <c r="H505" s="93"/>
      <c r="I505" s="93"/>
    </row>
    <row r="506" spans="8:9" ht="12.75">
      <c r="H506" s="93"/>
      <c r="I506" s="93"/>
    </row>
    <row r="507" spans="8:9" ht="12.75">
      <c r="H507" s="93"/>
      <c r="I507" s="93"/>
    </row>
    <row r="508" spans="8:9" ht="12.75">
      <c r="H508" s="93"/>
      <c r="I508" s="93"/>
    </row>
    <row r="509" spans="8:9" ht="12.75">
      <c r="H509" s="93"/>
      <c r="I509" s="93"/>
    </row>
    <row r="510" spans="8:9" ht="12.75">
      <c r="H510" s="93"/>
      <c r="I510" s="93"/>
    </row>
    <row r="511" spans="8:9" ht="12.75">
      <c r="H511" s="93"/>
      <c r="I511" s="93"/>
    </row>
    <row r="512" spans="8:9" ht="12.75">
      <c r="H512" s="93"/>
      <c r="I512" s="93"/>
    </row>
    <row r="513" spans="8:9" ht="12.75">
      <c r="H513" s="93"/>
      <c r="I513" s="93"/>
    </row>
    <row r="514" spans="8:9" ht="12.75">
      <c r="H514" s="93"/>
      <c r="I514" s="93"/>
    </row>
    <row r="515" spans="8:9" ht="12.75">
      <c r="H515" s="93"/>
      <c r="I515" s="93"/>
    </row>
    <row r="516" spans="8:9" ht="12.75">
      <c r="H516" s="93"/>
      <c r="I516" s="93"/>
    </row>
    <row r="517" spans="8:9" ht="12.75">
      <c r="H517" s="93"/>
      <c r="I517" s="93"/>
    </row>
    <row r="518" spans="8:9" ht="12.75">
      <c r="H518" s="93"/>
      <c r="I518" s="93"/>
    </row>
    <row r="519" spans="8:9" ht="12.75">
      <c r="H519" s="93"/>
      <c r="I519" s="93"/>
    </row>
    <row r="520" spans="8:9" ht="12.75">
      <c r="H520" s="93"/>
      <c r="I520" s="93"/>
    </row>
    <row r="521" spans="8:9" ht="12.75">
      <c r="H521" s="93"/>
      <c r="I521" s="93"/>
    </row>
    <row r="522" spans="8:9" ht="12.75">
      <c r="H522" s="93"/>
      <c r="I522" s="93"/>
    </row>
    <row r="523" spans="8:9" ht="12.75">
      <c r="H523" s="93"/>
      <c r="I523" s="93"/>
    </row>
    <row r="524" spans="8:9" ht="12.75">
      <c r="H524" s="93"/>
      <c r="I524" s="93"/>
    </row>
    <row r="525" spans="8:9" ht="12.75">
      <c r="H525" s="93"/>
      <c r="I525" s="93"/>
    </row>
    <row r="526" spans="8:9" ht="12.75">
      <c r="H526" s="93"/>
      <c r="I526" s="93"/>
    </row>
    <row r="527" spans="8:9" ht="12.75">
      <c r="H527" s="93"/>
      <c r="I527" s="93"/>
    </row>
    <row r="528" spans="8:9" ht="12.75">
      <c r="H528" s="93"/>
      <c r="I528" s="93"/>
    </row>
    <row r="529" spans="8:9" ht="12.75">
      <c r="H529" s="93"/>
      <c r="I529" s="93"/>
    </row>
    <row r="530" spans="8:9" ht="12.75">
      <c r="H530" s="93"/>
      <c r="I530" s="93"/>
    </row>
    <row r="531" spans="8:9" ht="12.75">
      <c r="H531" s="93"/>
      <c r="I531" s="93"/>
    </row>
    <row r="532" spans="8:9" ht="12.75">
      <c r="H532" s="93"/>
      <c r="I532" s="93"/>
    </row>
    <row r="533" spans="8:9" ht="12.75">
      <c r="H533" s="93"/>
      <c r="I533" s="93"/>
    </row>
    <row r="534" spans="8:9" ht="12.75">
      <c r="H534" s="93"/>
      <c r="I534" s="93"/>
    </row>
    <row r="535" spans="8:9" ht="12.75">
      <c r="H535" s="93"/>
      <c r="I535" s="93"/>
    </row>
    <row r="536" spans="8:9" ht="12.75">
      <c r="H536" s="93"/>
      <c r="I536" s="93"/>
    </row>
    <row r="537" spans="8:9" ht="12.75">
      <c r="H537" s="93"/>
      <c r="I537" s="93"/>
    </row>
    <row r="538" spans="8:9" ht="12.75">
      <c r="H538" s="93"/>
      <c r="I538" s="93"/>
    </row>
    <row r="539" spans="8:9" ht="12.75">
      <c r="H539" s="93"/>
      <c r="I539" s="93"/>
    </row>
    <row r="540" spans="8:9" ht="12.75">
      <c r="H540" s="93"/>
      <c r="I540" s="93"/>
    </row>
    <row r="541" spans="8:9" ht="12.75">
      <c r="H541" s="93"/>
      <c r="I541" s="93"/>
    </row>
    <row r="542" spans="8:9" ht="12.75">
      <c r="H542" s="93"/>
      <c r="I542" s="93"/>
    </row>
    <row r="543" spans="8:9" ht="12.75">
      <c r="H543" s="93"/>
      <c r="I543" s="93"/>
    </row>
    <row r="544" spans="8:9" ht="12.75">
      <c r="H544" s="93"/>
      <c r="I544" s="93"/>
    </row>
    <row r="545" spans="8:9" ht="12.75">
      <c r="H545" s="93"/>
      <c r="I545" s="93"/>
    </row>
    <row r="546" spans="8:9" ht="12.75">
      <c r="H546" s="93"/>
      <c r="I546" s="93"/>
    </row>
    <row r="547" spans="8:9" ht="12.75">
      <c r="H547" s="93"/>
      <c r="I547" s="93"/>
    </row>
    <row r="548" spans="8:9" ht="12.75">
      <c r="H548" s="93"/>
      <c r="I548" s="93"/>
    </row>
    <row r="549" spans="8:9" ht="12.75">
      <c r="H549" s="93"/>
      <c r="I549" s="93"/>
    </row>
    <row r="550" spans="8:9" ht="12.75">
      <c r="H550" s="93"/>
      <c r="I550" s="93"/>
    </row>
    <row r="551" spans="8:9" ht="12.75">
      <c r="H551" s="93"/>
      <c r="I551" s="93"/>
    </row>
    <row r="552" spans="8:9" ht="12.75">
      <c r="H552" s="93"/>
      <c r="I552" s="93"/>
    </row>
    <row r="553" spans="8:9" ht="12.75">
      <c r="H553" s="93"/>
      <c r="I553" s="93"/>
    </row>
    <row r="554" spans="8:9" ht="12.75">
      <c r="H554" s="93"/>
      <c r="I554" s="93"/>
    </row>
    <row r="555" spans="8:9" ht="12.75">
      <c r="H555" s="93"/>
      <c r="I555" s="93"/>
    </row>
    <row r="556" spans="8:9" ht="12.75">
      <c r="H556" s="93"/>
      <c r="I556" s="93"/>
    </row>
    <row r="557" spans="8:9" ht="12.75">
      <c r="H557" s="93"/>
      <c r="I557" s="93"/>
    </row>
    <row r="558" spans="8:9" ht="12.75">
      <c r="H558" s="93"/>
      <c r="I558" s="93"/>
    </row>
    <row r="559" spans="8:9" ht="12.75">
      <c r="H559" s="93"/>
      <c r="I559" s="93"/>
    </row>
    <row r="560" spans="8:9" ht="12.75">
      <c r="H560" s="93"/>
      <c r="I560" s="93"/>
    </row>
    <row r="561" spans="8:9" ht="12.75">
      <c r="H561" s="93"/>
      <c r="I561" s="93"/>
    </row>
    <row r="562" spans="8:9" ht="12.75">
      <c r="H562" s="93"/>
      <c r="I562" s="93"/>
    </row>
    <row r="563" spans="8:9" ht="12.75">
      <c r="H563" s="93"/>
      <c r="I563" s="93"/>
    </row>
    <row r="564" spans="8:9" ht="12.75">
      <c r="H564" s="93"/>
      <c r="I564" s="93"/>
    </row>
    <row r="565" spans="8:9" ht="12.75">
      <c r="H565" s="93"/>
      <c r="I565" s="93"/>
    </row>
    <row r="566" spans="8:9" ht="12.75">
      <c r="H566" s="93"/>
      <c r="I566" s="93"/>
    </row>
    <row r="567" spans="8:9" ht="12.75">
      <c r="H567" s="93"/>
      <c r="I567" s="93"/>
    </row>
    <row r="568" spans="8:9" ht="12.75">
      <c r="H568" s="93"/>
      <c r="I568" s="93"/>
    </row>
    <row r="569" spans="8:9" ht="12.75">
      <c r="H569" s="93"/>
      <c r="I569" s="93"/>
    </row>
    <row r="570" spans="8:9" ht="12.75">
      <c r="H570" s="93"/>
      <c r="I570" s="93"/>
    </row>
    <row r="571" spans="8:9" ht="12.75">
      <c r="H571" s="93"/>
      <c r="I571" s="93"/>
    </row>
    <row r="572" spans="8:9" ht="12.75">
      <c r="H572" s="93"/>
      <c r="I572" s="93"/>
    </row>
    <row r="573" spans="8:9" ht="12.75">
      <c r="H573" s="93"/>
      <c r="I573" s="93"/>
    </row>
    <row r="574" spans="8:9" ht="12.75">
      <c r="H574" s="93"/>
      <c r="I574" s="93"/>
    </row>
    <row r="575" spans="8:9" ht="12.75">
      <c r="H575" s="93"/>
      <c r="I575" s="93"/>
    </row>
    <row r="576" spans="8:9" ht="12.75">
      <c r="H576" s="93"/>
      <c r="I576" s="93"/>
    </row>
    <row r="577" spans="8:9" ht="12.75">
      <c r="H577" s="93"/>
      <c r="I577" s="93"/>
    </row>
    <row r="578" spans="8:9" ht="12.75">
      <c r="H578" s="93"/>
      <c r="I578" s="93"/>
    </row>
    <row r="579" spans="8:9" ht="12.75">
      <c r="H579" s="93"/>
      <c r="I579" s="93"/>
    </row>
    <row r="580" spans="8:9" ht="12.75">
      <c r="H580" s="93"/>
      <c r="I580" s="93"/>
    </row>
    <row r="581" spans="8:9" ht="12.75">
      <c r="H581" s="93"/>
      <c r="I581" s="93"/>
    </row>
    <row r="582" spans="8:9" ht="12.75">
      <c r="H582" s="93"/>
      <c r="I582" s="93"/>
    </row>
    <row r="583" spans="8:9" ht="12.75">
      <c r="H583" s="93"/>
      <c r="I583" s="93"/>
    </row>
    <row r="584" spans="8:9" ht="12.75">
      <c r="H584" s="93"/>
      <c r="I584" s="93"/>
    </row>
    <row r="585" spans="8:9" ht="12.75">
      <c r="H585" s="93"/>
      <c r="I585" s="93"/>
    </row>
    <row r="586" spans="8:9" ht="12.75">
      <c r="H586" s="93"/>
      <c r="I586" s="93"/>
    </row>
    <row r="587" spans="8:9" ht="12.75">
      <c r="H587" s="93"/>
      <c r="I587" s="93"/>
    </row>
    <row r="588" spans="8:9" ht="12.75">
      <c r="H588" s="93"/>
      <c r="I588" s="93"/>
    </row>
    <row r="589" spans="8:9" ht="12.75">
      <c r="H589" s="93"/>
      <c r="I589" s="93"/>
    </row>
    <row r="590" spans="8:9" ht="12.75">
      <c r="H590" s="93"/>
      <c r="I590" s="93"/>
    </row>
    <row r="591" spans="8:9" ht="12.75">
      <c r="H591" s="93"/>
      <c r="I591" s="93"/>
    </row>
    <row r="592" spans="8:9" ht="12.75">
      <c r="H592" s="93"/>
      <c r="I592" s="93"/>
    </row>
    <row r="593" spans="8:9" ht="12.75">
      <c r="H593" s="93"/>
      <c r="I593" s="93"/>
    </row>
    <row r="594" spans="8:9" ht="12.75">
      <c r="H594" s="93"/>
      <c r="I594" s="93"/>
    </row>
    <row r="595" spans="8:9" ht="12.75">
      <c r="H595" s="93"/>
      <c r="I595" s="93"/>
    </row>
    <row r="596" spans="8:9" ht="12.75">
      <c r="H596" s="93"/>
      <c r="I596" s="93"/>
    </row>
    <row r="597" spans="8:9" ht="12.75">
      <c r="H597" s="93"/>
      <c r="I597" s="93"/>
    </row>
    <row r="598" spans="8:9" ht="12.75">
      <c r="H598" s="93"/>
      <c r="I598" s="93"/>
    </row>
    <row r="599" spans="8:9" ht="12.75">
      <c r="H599" s="93"/>
      <c r="I599" s="93"/>
    </row>
    <row r="600" spans="8:9" ht="12.75">
      <c r="H600" s="93"/>
      <c r="I600" s="93"/>
    </row>
    <row r="601" spans="8:9" ht="12.75">
      <c r="H601" s="93"/>
      <c r="I601" s="93"/>
    </row>
    <row r="602" spans="8:9" ht="12.75">
      <c r="H602" s="93"/>
      <c r="I602" s="93"/>
    </row>
    <row r="603" spans="8:9" ht="12.75">
      <c r="H603" s="93"/>
      <c r="I603" s="93"/>
    </row>
    <row r="604" spans="8:9" ht="12.75">
      <c r="H604" s="93"/>
      <c r="I604" s="93"/>
    </row>
    <row r="605" spans="8:9" ht="12.75">
      <c r="H605" s="93"/>
      <c r="I605" s="93"/>
    </row>
    <row r="606" spans="8:9" ht="12.75">
      <c r="H606" s="93"/>
      <c r="I606" s="93"/>
    </row>
    <row r="607" spans="8:9" ht="12.75">
      <c r="H607" s="93"/>
      <c r="I607" s="93"/>
    </row>
    <row r="608" spans="8:9" ht="12.75">
      <c r="H608" s="93"/>
      <c r="I608" s="93"/>
    </row>
    <row r="609" spans="8:9" ht="12.75">
      <c r="H609" s="93"/>
      <c r="I609" s="93"/>
    </row>
    <row r="610" spans="8:9" ht="12.75">
      <c r="H610" s="93"/>
      <c r="I610" s="93"/>
    </row>
    <row r="611" spans="8:9" ht="12.75">
      <c r="H611" s="93"/>
      <c r="I611" s="93"/>
    </row>
    <row r="612" spans="8:9" ht="12.75">
      <c r="H612" s="93"/>
      <c r="I612" s="93"/>
    </row>
    <row r="613" spans="8:9" ht="12.75">
      <c r="H613" s="93"/>
      <c r="I613" s="93"/>
    </row>
    <row r="614" spans="8:9" ht="12.75">
      <c r="H614" s="93"/>
      <c r="I614" s="93"/>
    </row>
    <row r="615" spans="8:9" ht="12.75">
      <c r="H615" s="93"/>
      <c r="I615" s="93"/>
    </row>
    <row r="616" spans="8:9" ht="12.75">
      <c r="H616" s="93"/>
      <c r="I616" s="93"/>
    </row>
    <row r="617" spans="8:9" ht="12.75">
      <c r="H617" s="93"/>
      <c r="I617" s="93"/>
    </row>
    <row r="618" spans="8:9" ht="12.75">
      <c r="H618" s="93"/>
      <c r="I618" s="93"/>
    </row>
    <row r="619" spans="8:9" ht="12.75">
      <c r="H619" s="93"/>
      <c r="I619" s="93"/>
    </row>
    <row r="620" spans="8:9" ht="12.75">
      <c r="H620" s="93"/>
      <c r="I620" s="93"/>
    </row>
    <row r="621" spans="8:9" ht="12.75">
      <c r="H621" s="93"/>
      <c r="I621" s="93"/>
    </row>
    <row r="622" spans="8:9" ht="12.75">
      <c r="H622" s="93"/>
      <c r="I622" s="93"/>
    </row>
    <row r="623" spans="8:9" ht="12.75">
      <c r="H623" s="93"/>
      <c r="I623" s="93"/>
    </row>
    <row r="624" spans="8:9" ht="12.75">
      <c r="H624" s="93"/>
      <c r="I624" s="93"/>
    </row>
    <row r="625" spans="8:9" ht="12.75">
      <c r="H625" s="93"/>
      <c r="I625" s="93"/>
    </row>
    <row r="626" spans="8:9" ht="12.75">
      <c r="H626" s="93"/>
      <c r="I626" s="93"/>
    </row>
    <row r="627" spans="8:9" ht="12.75">
      <c r="H627" s="93"/>
      <c r="I627" s="93"/>
    </row>
    <row r="628" spans="8:9" ht="12.75">
      <c r="H628" s="93"/>
      <c r="I628" s="93"/>
    </row>
    <row r="629" spans="8:9" ht="12.75">
      <c r="H629" s="93"/>
      <c r="I629" s="93"/>
    </row>
    <row r="630" spans="8:9" ht="12.75">
      <c r="H630" s="93"/>
      <c r="I630" s="93"/>
    </row>
    <row r="631" spans="8:9" ht="12.75">
      <c r="H631" s="93"/>
      <c r="I631" s="93"/>
    </row>
    <row r="632" spans="8:9" ht="12.75">
      <c r="H632" s="93"/>
      <c r="I632" s="93"/>
    </row>
    <row r="633" spans="8:9" ht="12.75">
      <c r="H633" s="93"/>
      <c r="I633" s="93"/>
    </row>
    <row r="634" spans="8:9" ht="12.75">
      <c r="H634" s="93"/>
      <c r="I634" s="93"/>
    </row>
    <row r="635" spans="8:9" ht="12.75">
      <c r="H635" s="93"/>
      <c r="I635" s="93"/>
    </row>
    <row r="636" spans="8:9" ht="12.75">
      <c r="H636" s="93"/>
      <c r="I636" s="93"/>
    </row>
    <row r="637" spans="8:9" ht="12.75">
      <c r="H637" s="93"/>
      <c r="I637" s="93"/>
    </row>
    <row r="638" spans="8:9" ht="12.75">
      <c r="H638" s="93"/>
      <c r="I638" s="93"/>
    </row>
    <row r="639" spans="8:9" ht="12.75">
      <c r="H639" s="93"/>
      <c r="I639" s="93"/>
    </row>
    <row r="640" spans="8:9" ht="12.75">
      <c r="H640" s="93"/>
      <c r="I640" s="93"/>
    </row>
    <row r="641" spans="8:9" ht="12.75">
      <c r="H641" s="93"/>
      <c r="I641" s="93"/>
    </row>
    <row r="642" spans="8:9" ht="12.75">
      <c r="H642" s="93"/>
      <c r="I642" s="93"/>
    </row>
    <row r="643" spans="8:9" ht="12.75">
      <c r="H643" s="93"/>
      <c r="I643" s="93"/>
    </row>
    <row r="644" spans="8:9" ht="12.75">
      <c r="H644" s="93"/>
      <c r="I644" s="93"/>
    </row>
    <row r="645" spans="8:9" ht="12.75">
      <c r="H645" s="93"/>
      <c r="I645" s="93"/>
    </row>
    <row r="646" spans="8:9" ht="12.75">
      <c r="H646" s="93"/>
      <c r="I646" s="93"/>
    </row>
    <row r="647" spans="8:9" ht="12.75">
      <c r="H647" s="93"/>
      <c r="I647" s="93"/>
    </row>
    <row r="648" spans="8:9" ht="12.75">
      <c r="H648" s="93"/>
      <c r="I648" s="93"/>
    </row>
    <row r="649" spans="8:9" ht="12.75">
      <c r="H649" s="93"/>
      <c r="I649" s="93"/>
    </row>
    <row r="650" spans="8:9" ht="12.75">
      <c r="H650" s="93"/>
      <c r="I650" s="93"/>
    </row>
    <row r="651" spans="8:9" ht="12.75">
      <c r="H651" s="93"/>
      <c r="I651" s="93"/>
    </row>
    <row r="652" spans="8:9" ht="12.75">
      <c r="H652" s="93"/>
      <c r="I652" s="93"/>
    </row>
    <row r="653" spans="8:9" ht="12.75">
      <c r="H653" s="93"/>
      <c r="I653" s="93"/>
    </row>
    <row r="654" spans="8:9" ht="12.75">
      <c r="H654" s="93"/>
      <c r="I654" s="93"/>
    </row>
    <row r="655" spans="8:9" ht="12.75">
      <c r="H655" s="93"/>
      <c r="I655" s="93"/>
    </row>
    <row r="656" spans="8:9" ht="12.75">
      <c r="H656" s="93"/>
      <c r="I656" s="93"/>
    </row>
    <row r="657" spans="8:9" ht="12.75">
      <c r="H657" s="93"/>
      <c r="I657" s="93"/>
    </row>
    <row r="658" spans="8:9" ht="12.75">
      <c r="H658" s="93"/>
      <c r="I658" s="93"/>
    </row>
    <row r="659" spans="8:9" ht="12.75">
      <c r="H659" s="93"/>
      <c r="I659" s="93"/>
    </row>
    <row r="660" spans="8:9" ht="12.75">
      <c r="H660" s="93"/>
      <c r="I660" s="93"/>
    </row>
    <row r="661" spans="8:9" ht="12.75">
      <c r="H661" s="93"/>
      <c r="I661" s="93"/>
    </row>
    <row r="662" spans="8:9" ht="12.75">
      <c r="H662" s="93"/>
      <c r="I662" s="93"/>
    </row>
    <row r="663" spans="8:9" ht="12.75">
      <c r="H663" s="93"/>
      <c r="I663" s="93"/>
    </row>
    <row r="664" spans="8:9" ht="12.75">
      <c r="H664" s="93"/>
      <c r="I664" s="93"/>
    </row>
    <row r="665" spans="8:9" ht="12.75">
      <c r="H665" s="93"/>
      <c r="I665" s="93"/>
    </row>
    <row r="666" spans="8:9" ht="12.75">
      <c r="H666" s="93"/>
      <c r="I666" s="93"/>
    </row>
    <row r="667" spans="8:9" ht="12.75">
      <c r="H667" s="93"/>
      <c r="I667" s="93"/>
    </row>
    <row r="668" spans="8:9" ht="12.75">
      <c r="H668" s="93"/>
      <c r="I668" s="93"/>
    </row>
    <row r="669" spans="8:9" ht="12.75">
      <c r="H669" s="93"/>
      <c r="I669" s="93"/>
    </row>
    <row r="670" spans="8:9" ht="12.75">
      <c r="H670" s="93"/>
      <c r="I670" s="93"/>
    </row>
    <row r="671" spans="8:9" ht="12.75">
      <c r="H671" s="93"/>
      <c r="I671" s="93"/>
    </row>
    <row r="672" spans="8:9" ht="12.75">
      <c r="H672" s="93"/>
      <c r="I672" s="93"/>
    </row>
    <row r="673" spans="8:9" ht="12.75">
      <c r="H673" s="93"/>
      <c r="I673" s="93"/>
    </row>
    <row r="674" spans="8:9" ht="12.75">
      <c r="H674" s="93"/>
      <c r="I674" s="93"/>
    </row>
    <row r="675" spans="8:9" ht="12.75">
      <c r="H675" s="93"/>
      <c r="I675" s="93"/>
    </row>
    <row r="676" spans="8:9" ht="12.75">
      <c r="H676" s="93"/>
      <c r="I676" s="93"/>
    </row>
    <row r="677" spans="8:9" ht="12.75">
      <c r="H677" s="93"/>
      <c r="I677" s="93"/>
    </row>
    <row r="678" spans="8:9" ht="12.75">
      <c r="H678" s="93"/>
      <c r="I678" s="93"/>
    </row>
    <row r="679" spans="8:9" ht="12.75">
      <c r="H679" s="93"/>
      <c r="I679" s="93"/>
    </row>
    <row r="680" spans="8:9" ht="12.75">
      <c r="H680" s="93"/>
      <c r="I680" s="93"/>
    </row>
    <row r="681" spans="8:9" ht="12.75">
      <c r="H681" s="93"/>
      <c r="I681" s="93"/>
    </row>
    <row r="682" spans="8:9" ht="12.75">
      <c r="H682" s="93"/>
      <c r="I682" s="93"/>
    </row>
    <row r="683" spans="8:9" ht="12.75">
      <c r="H683" s="93"/>
      <c r="I683" s="93"/>
    </row>
    <row r="684" spans="8:9" ht="12.75">
      <c r="H684" s="93"/>
      <c r="I684" s="93"/>
    </row>
    <row r="685" spans="8:9" ht="12.75">
      <c r="H685" s="93"/>
      <c r="I685" s="93"/>
    </row>
    <row r="686" spans="8:9" ht="12.75">
      <c r="H686" s="93"/>
      <c r="I686" s="93"/>
    </row>
    <row r="687" spans="8:9" ht="12.75">
      <c r="H687" s="93"/>
      <c r="I687" s="93"/>
    </row>
    <row r="688" spans="8:9" ht="12.75">
      <c r="H688" s="93"/>
      <c r="I688" s="93"/>
    </row>
    <row r="689" spans="8:9" ht="12.75">
      <c r="H689" s="93"/>
      <c r="I689" s="93"/>
    </row>
    <row r="690" spans="8:9" ht="12.75">
      <c r="H690" s="93"/>
      <c r="I690" s="93"/>
    </row>
    <row r="691" spans="8:9" ht="12.75">
      <c r="H691" s="93"/>
      <c r="I691" s="93"/>
    </row>
    <row r="692" spans="8:9" ht="12.75">
      <c r="H692" s="93"/>
      <c r="I692" s="93"/>
    </row>
    <row r="693" spans="8:9" ht="12.75">
      <c r="H693" s="93"/>
      <c r="I693" s="93"/>
    </row>
    <row r="694" spans="8:9" ht="12.75">
      <c r="H694" s="93"/>
      <c r="I694" s="93"/>
    </row>
    <row r="695" spans="8:9" ht="12.75">
      <c r="H695" s="93"/>
      <c r="I695" s="93"/>
    </row>
    <row r="696" spans="8:9" ht="12.75">
      <c r="H696" s="93"/>
      <c r="I696" s="93"/>
    </row>
    <row r="697" spans="8:9" ht="12.75">
      <c r="H697" s="93"/>
      <c r="I697" s="93"/>
    </row>
    <row r="698" spans="8:9" ht="12.75">
      <c r="H698" s="93"/>
      <c r="I698" s="93"/>
    </row>
    <row r="699" spans="8:9" ht="12.75">
      <c r="H699" s="93"/>
      <c r="I699" s="93"/>
    </row>
    <row r="700" spans="8:9" ht="12.75">
      <c r="H700" s="93"/>
      <c r="I700" s="93"/>
    </row>
    <row r="701" spans="8:9" ht="12.75">
      <c r="H701" s="93"/>
      <c r="I701" s="93"/>
    </row>
    <row r="702" spans="8:9" ht="12.75">
      <c r="H702" s="93"/>
      <c r="I702" s="93"/>
    </row>
    <row r="703" spans="8:9" ht="12.75">
      <c r="H703" s="93"/>
      <c r="I703" s="93"/>
    </row>
    <row r="704" spans="8:9" ht="12.75">
      <c r="H704" s="93"/>
      <c r="I704" s="93"/>
    </row>
    <row r="705" spans="8:9" ht="12.75">
      <c r="H705" s="93"/>
      <c r="I705" s="93"/>
    </row>
    <row r="706" spans="8:9" ht="12.75">
      <c r="H706" s="93"/>
      <c r="I706" s="93"/>
    </row>
    <row r="707" spans="8:9" ht="12.75">
      <c r="H707" s="93"/>
      <c r="I707" s="93"/>
    </row>
    <row r="708" spans="8:9" ht="12.75">
      <c r="H708" s="93"/>
      <c r="I708" s="93"/>
    </row>
    <row r="709" spans="8:9" ht="12.75">
      <c r="H709" s="93"/>
      <c r="I709" s="93"/>
    </row>
    <row r="710" spans="8:9" ht="12.75">
      <c r="H710" s="93"/>
      <c r="I710" s="93"/>
    </row>
    <row r="711" spans="8:9" ht="12.75">
      <c r="H711" s="93"/>
      <c r="I711" s="93"/>
    </row>
    <row r="712" spans="8:9" ht="12.75">
      <c r="H712" s="93"/>
      <c r="I712" s="93"/>
    </row>
    <row r="713" spans="8:9" ht="12.75">
      <c r="H713" s="93"/>
      <c r="I713" s="93"/>
    </row>
    <row r="714" spans="8:9" ht="12.75">
      <c r="H714" s="93"/>
      <c r="I714" s="93"/>
    </row>
    <row r="715" spans="8:9" ht="12.75">
      <c r="H715" s="93"/>
      <c r="I715" s="93"/>
    </row>
    <row r="716" spans="8:9" ht="12.75">
      <c r="H716" s="93"/>
      <c r="I716" s="93"/>
    </row>
    <row r="717" spans="8:9" ht="12.75">
      <c r="H717" s="93"/>
      <c r="I717" s="93"/>
    </row>
    <row r="718" spans="8:9" ht="12.75">
      <c r="H718" s="93"/>
      <c r="I718" s="93"/>
    </row>
    <row r="719" spans="8:9" ht="12.75">
      <c r="H719" s="93"/>
      <c r="I719" s="93"/>
    </row>
    <row r="720" spans="8:9" ht="12.75">
      <c r="H720" s="93"/>
      <c r="I720" s="93"/>
    </row>
    <row r="721" spans="8:9" ht="12.75">
      <c r="H721" s="93"/>
      <c r="I721" s="93"/>
    </row>
    <row r="722" spans="8:9" ht="12.75">
      <c r="H722" s="93"/>
      <c r="I722" s="93"/>
    </row>
    <row r="723" spans="8:9" ht="12.75">
      <c r="H723" s="93"/>
      <c r="I723" s="93"/>
    </row>
    <row r="724" spans="8:9" ht="12.75">
      <c r="H724" s="93"/>
      <c r="I724" s="93"/>
    </row>
    <row r="725" spans="8:9" ht="12.75">
      <c r="H725" s="93"/>
      <c r="I725" s="93"/>
    </row>
    <row r="726" spans="8:9" ht="12.75">
      <c r="H726" s="93"/>
      <c r="I726" s="93"/>
    </row>
    <row r="727" spans="8:9" ht="12.75">
      <c r="H727" s="93"/>
      <c r="I727" s="93"/>
    </row>
    <row r="728" spans="8:9" ht="12.75">
      <c r="H728" s="93"/>
      <c r="I728" s="93"/>
    </row>
    <row r="729" spans="8:9" ht="12.75">
      <c r="H729" s="93"/>
      <c r="I729" s="93"/>
    </row>
    <row r="730" spans="8:9" ht="12.75">
      <c r="H730" s="93"/>
      <c r="I730" s="93"/>
    </row>
    <row r="731" spans="8:9" ht="12.75">
      <c r="H731" s="93"/>
      <c r="I731" s="93"/>
    </row>
    <row r="732" spans="8:9" ht="12.75">
      <c r="H732" s="93"/>
      <c r="I732" s="93"/>
    </row>
    <row r="733" spans="8:9" ht="12.75">
      <c r="H733" s="93"/>
      <c r="I733" s="93"/>
    </row>
    <row r="734" spans="8:9" ht="12.75">
      <c r="H734" s="93"/>
      <c r="I734" s="93"/>
    </row>
    <row r="735" spans="8:9" ht="12.75">
      <c r="H735" s="93"/>
      <c r="I735" s="93"/>
    </row>
    <row r="736" spans="8:9" ht="12.75">
      <c r="H736" s="93"/>
      <c r="I736" s="93"/>
    </row>
    <row r="737" spans="8:9" ht="12.75">
      <c r="H737" s="93"/>
      <c r="I737" s="93"/>
    </row>
    <row r="738" spans="8:9" ht="12.75">
      <c r="H738" s="93"/>
      <c r="I738" s="93"/>
    </row>
    <row r="739" spans="8:9" ht="12.75">
      <c r="H739" s="93"/>
      <c r="I739" s="93"/>
    </row>
    <row r="740" spans="8:9" ht="12.75">
      <c r="H740" s="93"/>
      <c r="I740" s="93"/>
    </row>
    <row r="741" spans="8:9" ht="12.75">
      <c r="H741" s="93"/>
      <c r="I741" s="93"/>
    </row>
    <row r="742" spans="8:9" ht="12.75">
      <c r="H742" s="93"/>
      <c r="I742" s="93"/>
    </row>
    <row r="743" spans="8:9" ht="12.75">
      <c r="H743" s="93"/>
      <c r="I743" s="93"/>
    </row>
    <row r="744" spans="8:9" ht="12.75">
      <c r="H744" s="93"/>
      <c r="I744" s="93"/>
    </row>
    <row r="745" spans="8:9" ht="12.75">
      <c r="H745" s="93"/>
      <c r="I745" s="93"/>
    </row>
    <row r="746" spans="8:9" ht="12.75">
      <c r="H746" s="93"/>
      <c r="I746" s="93"/>
    </row>
    <row r="747" spans="8:9" ht="12.75">
      <c r="H747" s="93"/>
      <c r="I747" s="93"/>
    </row>
    <row r="748" spans="8:9" ht="12.75">
      <c r="H748" s="93"/>
      <c r="I748" s="93"/>
    </row>
    <row r="749" spans="8:9" ht="12.75">
      <c r="H749" s="93"/>
      <c r="I749" s="93"/>
    </row>
    <row r="750" spans="8:9" ht="12.75">
      <c r="H750" s="93"/>
      <c r="I750" s="93"/>
    </row>
    <row r="751" spans="8:9" ht="12.75">
      <c r="H751" s="93"/>
      <c r="I751" s="93"/>
    </row>
    <row r="752" spans="8:9" ht="12.75">
      <c r="H752" s="93"/>
      <c r="I752" s="93"/>
    </row>
    <row r="753" spans="8:9" ht="12.75">
      <c r="H753" s="93"/>
      <c r="I753" s="93"/>
    </row>
    <row r="754" spans="8:9" ht="12.75">
      <c r="H754" s="93"/>
      <c r="I754" s="93"/>
    </row>
    <row r="755" spans="8:9" ht="12.75">
      <c r="H755" s="93"/>
      <c r="I755" s="93"/>
    </row>
    <row r="756" spans="8:9" ht="12.75">
      <c r="H756" s="93"/>
      <c r="I756" s="93"/>
    </row>
    <row r="757" spans="8:9" ht="12.75">
      <c r="H757" s="93"/>
      <c r="I757" s="93"/>
    </row>
    <row r="758" spans="8:9" ht="12.75">
      <c r="H758" s="93"/>
      <c r="I758" s="93"/>
    </row>
    <row r="759" spans="8:9" ht="12.75">
      <c r="H759" s="93"/>
      <c r="I759" s="93"/>
    </row>
    <row r="760" spans="8:9" ht="12.75">
      <c r="H760" s="93"/>
      <c r="I760" s="93"/>
    </row>
    <row r="761" spans="8:9" ht="12.75">
      <c r="H761" s="93"/>
      <c r="I761" s="93"/>
    </row>
    <row r="762" spans="8:9" ht="12.75">
      <c r="H762" s="93"/>
      <c r="I762" s="93"/>
    </row>
    <row r="763" spans="8:9" ht="12.75">
      <c r="H763" s="93"/>
      <c r="I763" s="93"/>
    </row>
    <row r="764" spans="8:9" ht="12.75">
      <c r="H764" s="93"/>
      <c r="I764" s="93"/>
    </row>
    <row r="765" spans="8:9" ht="12.75">
      <c r="H765" s="93"/>
      <c r="I765" s="93"/>
    </row>
    <row r="766" spans="8:9" ht="12.75">
      <c r="H766" s="93"/>
      <c r="I766" s="93"/>
    </row>
    <row r="767" spans="8:9" ht="12.75">
      <c r="H767" s="93"/>
      <c r="I767" s="93"/>
    </row>
    <row r="768" spans="8:9" ht="12.75">
      <c r="H768" s="93"/>
      <c r="I768" s="93"/>
    </row>
    <row r="769" spans="8:9" ht="12.75">
      <c r="H769" s="93"/>
      <c r="I769" s="93"/>
    </row>
    <row r="770" spans="8:9" ht="12.75">
      <c r="H770" s="93"/>
      <c r="I770" s="93"/>
    </row>
    <row r="771" spans="8:9" ht="12.75">
      <c r="H771" s="93"/>
      <c r="I771" s="93"/>
    </row>
    <row r="772" spans="8:9" ht="12.75">
      <c r="H772" s="93"/>
      <c r="I772" s="93"/>
    </row>
    <row r="773" spans="8:9" ht="12.75">
      <c r="H773" s="93"/>
      <c r="I773" s="93"/>
    </row>
    <row r="774" spans="8:9" ht="12.75">
      <c r="H774" s="93"/>
      <c r="I774" s="93"/>
    </row>
    <row r="775" spans="8:9" ht="12.75">
      <c r="H775" s="93"/>
      <c r="I775" s="93"/>
    </row>
    <row r="776" spans="8:9" ht="12.75">
      <c r="H776" s="93"/>
      <c r="I776" s="93"/>
    </row>
    <row r="777" spans="8:9" ht="12.75">
      <c r="H777" s="93"/>
      <c r="I777" s="93"/>
    </row>
    <row r="778" spans="8:9" ht="12.75">
      <c r="H778" s="93"/>
      <c r="I778" s="93"/>
    </row>
    <row r="779" spans="8:9" ht="12.75">
      <c r="H779" s="93"/>
      <c r="I779" s="93"/>
    </row>
    <row r="780" spans="8:9" ht="12.75">
      <c r="H780" s="93"/>
      <c r="I780" s="93"/>
    </row>
    <row r="781" spans="8:9" ht="12.75">
      <c r="H781" s="93"/>
      <c r="I781" s="93"/>
    </row>
    <row r="782" spans="8:9" ht="12.75">
      <c r="H782" s="93"/>
      <c r="I782" s="93"/>
    </row>
    <row r="783" spans="8:9" ht="12.75">
      <c r="H783" s="93"/>
      <c r="I783" s="93"/>
    </row>
    <row r="784" spans="8:9" ht="12.75">
      <c r="H784" s="93"/>
      <c r="I784" s="93"/>
    </row>
    <row r="785" spans="8:9" ht="12.75">
      <c r="H785" s="93"/>
      <c r="I785" s="93"/>
    </row>
    <row r="786" spans="8:9" ht="12.75">
      <c r="H786" s="93"/>
      <c r="I786" s="93"/>
    </row>
    <row r="787" spans="8:9" ht="12.75">
      <c r="H787" s="93"/>
      <c r="I787" s="93"/>
    </row>
    <row r="788" spans="8:9" ht="12.75">
      <c r="H788" s="93"/>
      <c r="I788" s="93"/>
    </row>
    <row r="789" spans="8:9" ht="12.75">
      <c r="H789" s="93"/>
      <c r="I789" s="93"/>
    </row>
    <row r="790" spans="8:9" ht="12.75">
      <c r="H790" s="93"/>
      <c r="I790" s="93"/>
    </row>
    <row r="791" spans="8:9" ht="12.75">
      <c r="H791" s="93"/>
      <c r="I791" s="93"/>
    </row>
    <row r="792" spans="8:9" ht="12.75">
      <c r="H792" s="93"/>
      <c r="I792" s="93"/>
    </row>
    <row r="793" spans="8:9" ht="12.75">
      <c r="H793" s="93"/>
      <c r="I793" s="93"/>
    </row>
    <row r="794" spans="8:9" ht="12.75">
      <c r="H794" s="93"/>
      <c r="I794" s="93"/>
    </row>
    <row r="795" spans="8:9" ht="12.75">
      <c r="H795" s="93"/>
      <c r="I795" s="93"/>
    </row>
    <row r="796" spans="8:9" ht="12.75">
      <c r="H796" s="93"/>
      <c r="I796" s="93"/>
    </row>
    <row r="797" spans="8:9" ht="12.75">
      <c r="H797" s="93"/>
      <c r="I797" s="93"/>
    </row>
    <row r="798" spans="8:9" ht="12.75">
      <c r="H798" s="93"/>
      <c r="I798" s="93"/>
    </row>
    <row r="799" spans="8:9" ht="12.75">
      <c r="H799" s="93"/>
      <c r="I799" s="93"/>
    </row>
    <row r="800" spans="8:9" ht="12.75">
      <c r="H800" s="93"/>
      <c r="I800" s="93"/>
    </row>
    <row r="801" spans="8:9" ht="12.75">
      <c r="H801" s="93"/>
      <c r="I801" s="93"/>
    </row>
    <row r="802" spans="8:9" ht="12.75">
      <c r="H802" s="93"/>
      <c r="I802" s="93"/>
    </row>
    <row r="803" spans="8:9" ht="12.75">
      <c r="H803" s="93"/>
      <c r="I803" s="93"/>
    </row>
    <row r="804" spans="8:9" ht="12.75">
      <c r="H804" s="93"/>
      <c r="I804" s="93"/>
    </row>
    <row r="805" spans="8:9" ht="12.75">
      <c r="H805" s="93"/>
      <c r="I805" s="93"/>
    </row>
    <row r="806" spans="8:9" ht="12.75">
      <c r="H806" s="93"/>
      <c r="I806" s="93"/>
    </row>
    <row r="807" spans="8:9" ht="12.75">
      <c r="H807" s="93"/>
      <c r="I807" s="93"/>
    </row>
    <row r="808" spans="8:9" ht="12.75">
      <c r="H808" s="93"/>
      <c r="I808" s="93"/>
    </row>
    <row r="809" spans="8:9" ht="12.75">
      <c r="H809" s="93"/>
      <c r="I809" s="93"/>
    </row>
    <row r="810" spans="8:9" ht="12.75">
      <c r="H810" s="93"/>
      <c r="I810" s="93"/>
    </row>
    <row r="811" spans="8:9" ht="12.75">
      <c r="H811" s="93"/>
      <c r="I811" s="93"/>
    </row>
    <row r="812" spans="8:9" ht="12.75">
      <c r="H812" s="93"/>
      <c r="I812" s="93"/>
    </row>
    <row r="813" spans="8:9" ht="12.75">
      <c r="H813" s="93"/>
      <c r="I813" s="93"/>
    </row>
    <row r="814" spans="8:9" ht="12.75">
      <c r="H814" s="93"/>
      <c r="I814" s="93"/>
    </row>
    <row r="815" spans="8:9" ht="12.75">
      <c r="H815" s="93"/>
      <c r="I815" s="93"/>
    </row>
    <row r="816" spans="8:9" ht="12.75">
      <c r="H816" s="93"/>
      <c r="I816" s="93"/>
    </row>
    <row r="817" spans="8:9" ht="12.75">
      <c r="H817" s="93"/>
      <c r="I817" s="93"/>
    </row>
    <row r="818" spans="8:9" ht="12.75">
      <c r="H818" s="93"/>
      <c r="I818" s="93"/>
    </row>
    <row r="819" spans="8:9" ht="12.75">
      <c r="H819" s="93"/>
      <c r="I819" s="93"/>
    </row>
    <row r="820" spans="8:9" ht="12.75">
      <c r="H820" s="93"/>
      <c r="I820" s="93"/>
    </row>
    <row r="821" spans="8:9" ht="12.75">
      <c r="H821" s="93"/>
      <c r="I821" s="93"/>
    </row>
    <row r="822" spans="8:9" ht="12.75">
      <c r="H822" s="93"/>
      <c r="I822" s="93"/>
    </row>
    <row r="823" spans="8:9" ht="12.75">
      <c r="H823" s="93"/>
      <c r="I823" s="93"/>
    </row>
    <row r="824" spans="8:9" ht="12.75">
      <c r="H824" s="93"/>
      <c r="I824" s="93"/>
    </row>
    <row r="825" spans="8:9" ht="12.75">
      <c r="H825" s="93"/>
      <c r="I825" s="93"/>
    </row>
    <row r="826" spans="8:9" ht="12.75">
      <c r="H826" s="93"/>
      <c r="I826" s="93"/>
    </row>
    <row r="827" spans="8:9" ht="12.75">
      <c r="H827" s="93"/>
      <c r="I827" s="93"/>
    </row>
    <row r="828" spans="8:9" ht="12.75">
      <c r="H828" s="93"/>
      <c r="I828" s="93"/>
    </row>
    <row r="829" spans="8:9" ht="12.75">
      <c r="H829" s="93"/>
      <c r="I829" s="93"/>
    </row>
    <row r="830" spans="8:9" ht="12.75">
      <c r="H830" s="93"/>
      <c r="I830" s="93"/>
    </row>
    <row r="831" spans="8:9" ht="12.75">
      <c r="H831" s="93"/>
      <c r="I831" s="93"/>
    </row>
    <row r="832" spans="8:9" ht="12.75">
      <c r="H832" s="93"/>
      <c r="I832" s="93"/>
    </row>
    <row r="833" spans="8:9" ht="12.75">
      <c r="H833" s="93"/>
      <c r="I833" s="93"/>
    </row>
    <row r="834" spans="8:9" ht="12.75">
      <c r="H834" s="93"/>
      <c r="I834" s="93"/>
    </row>
    <row r="835" spans="8:9" ht="12.75">
      <c r="H835" s="93"/>
      <c r="I835" s="93"/>
    </row>
    <row r="836" spans="8:9" ht="12.75">
      <c r="H836" s="93"/>
      <c r="I836" s="93"/>
    </row>
    <row r="837" spans="8:9" ht="12.75">
      <c r="H837" s="93"/>
      <c r="I837" s="93"/>
    </row>
    <row r="838" spans="8:9" ht="12.75">
      <c r="H838" s="93"/>
      <c r="I838" s="93"/>
    </row>
    <row r="839" spans="8:9" ht="12.75">
      <c r="H839" s="93"/>
      <c r="I839" s="93"/>
    </row>
    <row r="840" spans="8:9" ht="12.75">
      <c r="H840" s="93"/>
      <c r="I840" s="93"/>
    </row>
    <row r="841" spans="8:9" ht="12.75">
      <c r="H841" s="93"/>
      <c r="I841" s="93"/>
    </row>
    <row r="842" spans="8:9" ht="12.75">
      <c r="H842" s="93"/>
      <c r="I842" s="93"/>
    </row>
    <row r="843" spans="8:9" ht="12.75">
      <c r="H843" s="93"/>
      <c r="I843" s="93"/>
    </row>
    <row r="844" spans="8:9" ht="12.75">
      <c r="H844" s="93"/>
      <c r="I844" s="93"/>
    </row>
    <row r="845" spans="8:9" ht="12.75">
      <c r="H845" s="93"/>
      <c r="I845" s="93"/>
    </row>
    <row r="846" spans="8:9" ht="12.75">
      <c r="H846" s="93"/>
      <c r="I846" s="93"/>
    </row>
    <row r="847" spans="8:9" ht="12.75">
      <c r="H847" s="93"/>
      <c r="I847" s="93"/>
    </row>
    <row r="848" spans="8:9" ht="12.75">
      <c r="H848" s="93"/>
      <c r="I848" s="93"/>
    </row>
    <row r="849" spans="8:9" ht="12.75">
      <c r="H849" s="93"/>
      <c r="I849" s="93"/>
    </row>
    <row r="850" spans="8:9" ht="12.75">
      <c r="H850" s="93"/>
      <c r="I850" s="93"/>
    </row>
    <row r="851" spans="8:9" ht="12.75">
      <c r="H851" s="93"/>
      <c r="I851" s="93"/>
    </row>
    <row r="852" spans="8:9" ht="12.75">
      <c r="H852" s="93"/>
      <c r="I852" s="93"/>
    </row>
    <row r="853" spans="8:9" ht="12.75">
      <c r="H853" s="93"/>
      <c r="I853" s="93"/>
    </row>
    <row r="854" spans="8:9" ht="12.75">
      <c r="H854" s="93"/>
      <c r="I854" s="93"/>
    </row>
    <row r="855" spans="8:9" ht="12.75">
      <c r="H855" s="93"/>
      <c r="I855" s="93"/>
    </row>
    <row r="856" spans="8:9" ht="12.75">
      <c r="H856" s="93"/>
      <c r="I856" s="93"/>
    </row>
    <row r="857" spans="8:9" ht="12.75">
      <c r="H857" s="93"/>
      <c r="I857" s="93"/>
    </row>
    <row r="858" spans="8:9" ht="12.75">
      <c r="H858" s="93"/>
      <c r="I858" s="93"/>
    </row>
    <row r="859" spans="8:9" ht="12.75">
      <c r="H859" s="93"/>
      <c r="I859" s="93"/>
    </row>
    <row r="860" spans="8:9" ht="12.75">
      <c r="H860" s="93"/>
      <c r="I860" s="93"/>
    </row>
    <row r="861" spans="8:9" ht="12.75">
      <c r="H861" s="93"/>
      <c r="I861" s="93"/>
    </row>
    <row r="862" spans="8:9" ht="12.75">
      <c r="H862" s="93"/>
      <c r="I862" s="93"/>
    </row>
    <row r="863" spans="8:9" ht="12.75">
      <c r="H863" s="93"/>
      <c r="I863" s="93"/>
    </row>
    <row r="864" spans="8:9" ht="12.75">
      <c r="H864" s="93"/>
      <c r="I864" s="93"/>
    </row>
    <row r="865" spans="8:9" ht="12.75">
      <c r="H865" s="93"/>
      <c r="I865" s="93"/>
    </row>
    <row r="866" spans="8:9" ht="12.75">
      <c r="H866" s="93"/>
      <c r="I866" s="93"/>
    </row>
    <row r="867" spans="8:9" ht="12.75">
      <c r="H867" s="93"/>
      <c r="I867" s="93"/>
    </row>
    <row r="868" spans="8:9" ht="12.75">
      <c r="H868" s="93"/>
      <c r="I868" s="93"/>
    </row>
    <row r="869" spans="8:9" ht="12.75">
      <c r="H869" s="93"/>
      <c r="I869" s="93"/>
    </row>
    <row r="870" spans="8:9" ht="12.75">
      <c r="H870" s="93"/>
      <c r="I870" s="93"/>
    </row>
    <row r="871" spans="8:9" ht="12.75">
      <c r="H871" s="93"/>
      <c r="I871" s="93"/>
    </row>
    <row r="872" spans="8:9" ht="12.75">
      <c r="H872" s="93"/>
      <c r="I872" s="93"/>
    </row>
    <row r="873" spans="8:9" ht="12.75">
      <c r="H873" s="93"/>
      <c r="I873" s="93"/>
    </row>
    <row r="874" spans="8:9" ht="12.75">
      <c r="H874" s="93"/>
      <c r="I874" s="93"/>
    </row>
    <row r="875" spans="8:9" ht="12.75">
      <c r="H875" s="93"/>
      <c r="I875" s="93"/>
    </row>
    <row r="876" spans="8:9" ht="12.75">
      <c r="H876" s="93"/>
      <c r="I876" s="93"/>
    </row>
    <row r="877" spans="8:9" ht="12.75">
      <c r="H877" s="93"/>
      <c r="I877" s="93"/>
    </row>
    <row r="878" spans="8:9" ht="12.75">
      <c r="H878" s="93"/>
      <c r="I878" s="93"/>
    </row>
    <row r="879" spans="8:9" ht="12.75">
      <c r="H879" s="93"/>
      <c r="I879" s="93"/>
    </row>
    <row r="880" spans="8:9" ht="12.75">
      <c r="H880" s="93"/>
      <c r="I880" s="93"/>
    </row>
    <row r="881" spans="8:9" ht="12.75">
      <c r="H881" s="93"/>
      <c r="I881" s="93"/>
    </row>
    <row r="882" spans="8:9" ht="12.75">
      <c r="H882" s="93"/>
      <c r="I882" s="93"/>
    </row>
    <row r="883" spans="8:9" ht="12.75">
      <c r="H883" s="93"/>
      <c r="I883" s="93"/>
    </row>
    <row r="884" spans="8:9" ht="12.75">
      <c r="H884" s="93"/>
      <c r="I884" s="93"/>
    </row>
    <row r="885" spans="8:9" ht="12.75">
      <c r="H885" s="93"/>
      <c r="I885" s="93"/>
    </row>
    <row r="886" spans="8:9" ht="12.75">
      <c r="H886" s="93"/>
      <c r="I886" s="93"/>
    </row>
    <row r="887" spans="8:9" ht="12.75">
      <c r="H887" s="93"/>
      <c r="I887" s="93"/>
    </row>
    <row r="888" spans="8:9" ht="12.75">
      <c r="H888" s="93"/>
      <c r="I888" s="93"/>
    </row>
    <row r="889" spans="8:9" ht="12.75">
      <c r="H889" s="93"/>
      <c r="I889" s="93"/>
    </row>
    <row r="890" spans="8:9" ht="12.75">
      <c r="H890" s="93"/>
      <c r="I890" s="93"/>
    </row>
    <row r="891" spans="8:9" ht="12.75">
      <c r="H891" s="93"/>
      <c r="I891" s="93"/>
    </row>
    <row r="892" spans="8:9" ht="12.75">
      <c r="H892" s="93"/>
      <c r="I892" s="93"/>
    </row>
    <row r="893" spans="8:9" ht="12.75">
      <c r="H893" s="93"/>
      <c r="I893" s="93"/>
    </row>
    <row r="894" spans="8:9" ht="12.75">
      <c r="H894" s="93"/>
      <c r="I894" s="93"/>
    </row>
    <row r="895" spans="8:9" ht="12.75">
      <c r="H895" s="93"/>
      <c r="I895" s="93"/>
    </row>
    <row r="896" spans="8:9" ht="12.75">
      <c r="H896" s="93"/>
      <c r="I896" s="93"/>
    </row>
    <row r="897" spans="8:9" ht="12.75">
      <c r="H897" s="93"/>
      <c r="I897" s="93"/>
    </row>
    <row r="898" spans="8:9" ht="12.75">
      <c r="H898" s="93"/>
      <c r="I898" s="93"/>
    </row>
    <row r="899" spans="8:9" ht="12.75">
      <c r="H899" s="93"/>
      <c r="I899" s="93"/>
    </row>
    <row r="900" spans="8:9" ht="12.75">
      <c r="H900" s="93"/>
      <c r="I900" s="93"/>
    </row>
    <row r="901" spans="8:9" ht="12.75">
      <c r="H901" s="93"/>
      <c r="I901" s="93"/>
    </row>
    <row r="902" spans="8:9" ht="12.75">
      <c r="H902" s="93"/>
      <c r="I902" s="93"/>
    </row>
    <row r="903" spans="8:9" ht="12.75">
      <c r="H903" s="93"/>
      <c r="I903" s="93"/>
    </row>
    <row r="904" spans="8:9" ht="12.75">
      <c r="H904" s="93"/>
      <c r="I904" s="93"/>
    </row>
    <row r="905" spans="8:9" ht="12.75">
      <c r="H905" s="93"/>
      <c r="I905" s="93"/>
    </row>
    <row r="906" spans="8:9" ht="12.75">
      <c r="H906" s="93"/>
      <c r="I906" s="93"/>
    </row>
    <row r="907" spans="8:9" ht="12.75">
      <c r="H907" s="93"/>
      <c r="I907" s="93"/>
    </row>
    <row r="908" spans="8:9" ht="12.75">
      <c r="H908" s="93"/>
      <c r="I908" s="93"/>
    </row>
    <row r="909" spans="8:9" ht="12.75">
      <c r="H909" s="93"/>
      <c r="I909" s="93"/>
    </row>
    <row r="910" spans="8:9" ht="12.75">
      <c r="H910" s="93"/>
      <c r="I910" s="93"/>
    </row>
    <row r="911" spans="8:9" ht="12.75">
      <c r="H911" s="93"/>
      <c r="I911" s="93"/>
    </row>
    <row r="912" spans="8:9" ht="12.75">
      <c r="H912" s="93"/>
      <c r="I912" s="93"/>
    </row>
    <row r="913" spans="8:9" ht="12.75">
      <c r="H913" s="93"/>
      <c r="I913" s="93"/>
    </row>
    <row r="914" spans="8:9" ht="12.75">
      <c r="H914" s="93"/>
      <c r="I914" s="93"/>
    </row>
    <row r="915" spans="8:9" ht="12.75">
      <c r="H915" s="93"/>
      <c r="I915" s="93"/>
    </row>
    <row r="916" spans="8:9" ht="12.75">
      <c r="H916" s="93"/>
      <c r="I916" s="93"/>
    </row>
    <row r="917" spans="8:9" ht="12.75">
      <c r="H917" s="93"/>
      <c r="I917" s="93"/>
    </row>
    <row r="918" spans="8:9" ht="12.75">
      <c r="H918" s="93"/>
      <c r="I918" s="93"/>
    </row>
    <row r="919" spans="8:9" ht="12.75">
      <c r="H919" s="93"/>
      <c r="I919" s="93"/>
    </row>
    <row r="920" spans="8:9" ht="12.75">
      <c r="H920" s="93"/>
      <c r="I920" s="93"/>
    </row>
    <row r="921" spans="8:9" ht="12.75">
      <c r="H921" s="93"/>
      <c r="I921" s="93"/>
    </row>
    <row r="922" spans="8:9" ht="12.75">
      <c r="H922" s="93"/>
      <c r="I922" s="93"/>
    </row>
    <row r="923" spans="8:9" ht="12.75">
      <c r="H923" s="93"/>
      <c r="I923" s="93"/>
    </row>
    <row r="924" spans="8:9" ht="12.75">
      <c r="H924" s="93"/>
      <c r="I924" s="93"/>
    </row>
    <row r="925" spans="8:9" ht="12.75">
      <c r="H925" s="93"/>
      <c r="I925" s="93"/>
    </row>
    <row r="926" spans="8:9" ht="12.75">
      <c r="H926" s="93"/>
      <c r="I926" s="93"/>
    </row>
    <row r="927" spans="8:9" ht="12.75">
      <c r="H927" s="93"/>
      <c r="I927" s="93"/>
    </row>
    <row r="928" spans="8:9" ht="12.75">
      <c r="H928" s="93"/>
      <c r="I928" s="93"/>
    </row>
    <row r="929" spans="8:9" ht="12.75">
      <c r="H929" s="93"/>
      <c r="I929" s="93"/>
    </row>
    <row r="930" spans="8:9" ht="12.75">
      <c r="H930" s="93"/>
      <c r="I930" s="93"/>
    </row>
    <row r="931" spans="8:9" ht="12.75">
      <c r="H931" s="93"/>
      <c r="I931" s="93"/>
    </row>
    <row r="932" spans="8:9" ht="12.75">
      <c r="H932" s="93"/>
      <c r="I932" s="93"/>
    </row>
    <row r="933" spans="8:9" ht="12.75">
      <c r="H933" s="93"/>
      <c r="I933" s="93"/>
    </row>
    <row r="934" spans="8:9" ht="12.75">
      <c r="H934" s="93"/>
      <c r="I934" s="93"/>
    </row>
    <row r="935" spans="8:9" ht="12.75">
      <c r="H935" s="93"/>
      <c r="I935" s="93"/>
    </row>
    <row r="936" spans="8:9" ht="12.75">
      <c r="H936" s="93"/>
      <c r="I936" s="93"/>
    </row>
    <row r="937" spans="8:9" ht="12.75">
      <c r="H937" s="93"/>
      <c r="I937" s="93"/>
    </row>
    <row r="938" spans="8:9" ht="12.75">
      <c r="H938" s="93"/>
      <c r="I938" s="93"/>
    </row>
    <row r="939" spans="8:9" ht="12.75">
      <c r="H939" s="93"/>
      <c r="I939" s="93"/>
    </row>
    <row r="940" spans="8:9" ht="12.75">
      <c r="H940" s="93"/>
      <c r="I940" s="93"/>
    </row>
    <row r="941" spans="8:9" ht="12.75">
      <c r="H941" s="93"/>
      <c r="I941" s="93"/>
    </row>
    <row r="942" spans="8:9" ht="12.75">
      <c r="H942" s="93"/>
      <c r="I942" s="93"/>
    </row>
    <row r="943" spans="8:9" ht="12.75">
      <c r="H943" s="93"/>
      <c r="I943" s="93"/>
    </row>
    <row r="944" spans="8:9" ht="12.75">
      <c r="H944" s="93"/>
      <c r="I944" s="93"/>
    </row>
    <row r="945" spans="8:9" ht="12.75">
      <c r="H945" s="93"/>
      <c r="I945" s="93"/>
    </row>
    <row r="946" spans="8:9" ht="12.75">
      <c r="H946" s="93"/>
      <c r="I946" s="93"/>
    </row>
    <row r="947" spans="8:9" ht="12.75">
      <c r="H947" s="93"/>
      <c r="I947" s="93"/>
    </row>
    <row r="948" spans="8:9" ht="12.75">
      <c r="H948" s="93"/>
      <c r="I948" s="93"/>
    </row>
    <row r="949" spans="8:9" ht="12.75">
      <c r="H949" s="93"/>
      <c r="I949" s="93"/>
    </row>
    <row r="950" spans="8:9" ht="12.75">
      <c r="H950" s="93"/>
      <c r="I950" s="93"/>
    </row>
    <row r="951" spans="8:9" ht="12.75">
      <c r="H951" s="93"/>
      <c r="I951" s="93"/>
    </row>
    <row r="952" spans="8:9" ht="12.75">
      <c r="H952" s="93"/>
      <c r="I952" s="93"/>
    </row>
    <row r="953" spans="8:9" ht="12.75">
      <c r="H953" s="93"/>
      <c r="I953" s="93"/>
    </row>
    <row r="954" spans="8:9" ht="12.75">
      <c r="H954" s="93"/>
      <c r="I954" s="93"/>
    </row>
    <row r="955" spans="8:9" ht="12.75">
      <c r="H955" s="93"/>
      <c r="I955" s="93"/>
    </row>
    <row r="956" spans="8:9" ht="12.75">
      <c r="H956" s="93"/>
      <c r="I956" s="93"/>
    </row>
    <row r="957" spans="8:9" ht="12.75">
      <c r="H957" s="93"/>
      <c r="I957" s="93"/>
    </row>
    <row r="958" spans="8:9" ht="12.75">
      <c r="H958" s="93"/>
      <c r="I958" s="93"/>
    </row>
    <row r="959" spans="8:9" ht="12.75">
      <c r="H959" s="93"/>
      <c r="I959" s="93"/>
    </row>
    <row r="960" spans="8:9" ht="12.75">
      <c r="H960" s="93"/>
      <c r="I960" s="93"/>
    </row>
    <row r="961" spans="8:9" ht="12.75">
      <c r="H961" s="93"/>
      <c r="I961" s="93"/>
    </row>
    <row r="962" spans="8:9" ht="12.75">
      <c r="H962" s="93"/>
      <c r="I962" s="93"/>
    </row>
    <row r="963" spans="8:9" ht="12.75">
      <c r="H963" s="93"/>
      <c r="I963" s="93"/>
    </row>
    <row r="964" spans="8:9" ht="12.75">
      <c r="H964" s="93"/>
      <c r="I964" s="93"/>
    </row>
    <row r="965" spans="8:9" ht="12.75">
      <c r="H965" s="93"/>
      <c r="I965" s="93"/>
    </row>
    <row r="966" spans="8:9" ht="12.75">
      <c r="H966" s="93"/>
      <c r="I966" s="93"/>
    </row>
    <row r="967" spans="8:9" ht="12.75">
      <c r="H967" s="93"/>
      <c r="I967" s="93"/>
    </row>
    <row r="968" spans="8:9" ht="12.75">
      <c r="H968" s="93"/>
      <c r="I968" s="93"/>
    </row>
    <row r="969" spans="8:9" ht="12.75">
      <c r="H969" s="93"/>
      <c r="I969" s="93"/>
    </row>
    <row r="970" spans="8:9" ht="12.75">
      <c r="H970" s="93"/>
      <c r="I970" s="93"/>
    </row>
    <row r="971" spans="8:9" ht="12.75">
      <c r="H971" s="93"/>
      <c r="I971" s="93"/>
    </row>
    <row r="972" spans="8:9" ht="12.75">
      <c r="H972" s="93"/>
      <c r="I972" s="93"/>
    </row>
    <row r="973" spans="8:9" ht="12.75">
      <c r="H973" s="93"/>
      <c r="I973" s="93"/>
    </row>
    <row r="974" spans="8:9" ht="12.75">
      <c r="H974" s="93"/>
      <c r="I974" s="93"/>
    </row>
    <row r="975" spans="8:9" ht="12.75">
      <c r="H975" s="93"/>
      <c r="I975" s="93"/>
    </row>
    <row r="976" spans="8:9" ht="12.75">
      <c r="H976" s="93"/>
      <c r="I976" s="93"/>
    </row>
    <row r="977" spans="8:9" ht="12.75">
      <c r="H977" s="93"/>
      <c r="I977" s="93"/>
    </row>
    <row r="978" spans="8:9" ht="12.75">
      <c r="H978" s="93"/>
      <c r="I978" s="93"/>
    </row>
    <row r="979" spans="8:9" ht="12.75">
      <c r="H979" s="93"/>
      <c r="I979" s="93"/>
    </row>
    <row r="980" spans="8:9" ht="12.75">
      <c r="H980" s="93"/>
      <c r="I980" s="93"/>
    </row>
    <row r="981" spans="8:9" ht="12.75">
      <c r="H981" s="93"/>
      <c r="I981" s="93"/>
    </row>
    <row r="982" spans="8:9" ht="12.75">
      <c r="H982" s="93"/>
      <c r="I982" s="93"/>
    </row>
    <row r="983" spans="8:9" ht="12.75">
      <c r="H983" s="93"/>
      <c r="I983" s="93"/>
    </row>
    <row r="984" spans="8:9" ht="12.75">
      <c r="H984" s="93"/>
      <c r="I984" s="93"/>
    </row>
    <row r="985" spans="8:9" ht="12.75">
      <c r="H985" s="93"/>
      <c r="I985" s="93"/>
    </row>
    <row r="986" spans="8:9" ht="12.75">
      <c r="H986" s="93"/>
      <c r="I986" s="93"/>
    </row>
    <row r="987" spans="8:9" ht="12.75">
      <c r="H987" s="93"/>
      <c r="I987" s="93"/>
    </row>
    <row r="988" spans="8:9" ht="12.75">
      <c r="H988" s="93"/>
      <c r="I988" s="93"/>
    </row>
    <row r="989" spans="8:9" ht="12.75">
      <c r="H989" s="93"/>
      <c r="I989" s="93"/>
    </row>
  </sheetData>
  <mergeCells count="3">
    <mergeCell ref="A1:J1"/>
    <mergeCell ref="B5:D5"/>
    <mergeCell ref="E5:F5"/>
  </mergeCells>
  <pageMargins left="0.75" right="0.75" top="1" bottom="1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4A853"/>
    <outlinePr summaryBelow="0" summaryRight="0"/>
  </sheetPr>
  <dimension ref="A1:I35"/>
  <sheetViews>
    <sheetView workbookViewId="0">
      <selection activeCell="B13" sqref="B13"/>
    </sheetView>
  </sheetViews>
  <sheetFormatPr defaultColWidth="14.42578125" defaultRowHeight="15.75" customHeight="1"/>
  <cols>
    <col min="1" max="1" width="23.42578125" customWidth="1"/>
    <col min="2" max="2" width="28.7109375" customWidth="1"/>
    <col min="3" max="3" width="19.42578125" customWidth="1"/>
    <col min="4" max="5" width="18.7109375" customWidth="1"/>
    <col min="6" max="6" width="28.28515625" customWidth="1"/>
    <col min="7" max="7" width="34.85546875" customWidth="1"/>
    <col min="8" max="8" width="18.5703125" customWidth="1"/>
    <col min="9" max="9" width="42.7109375" customWidth="1"/>
  </cols>
  <sheetData>
    <row r="1" spans="1:9" ht="72.75" customHeight="1">
      <c r="A1" s="94"/>
      <c r="B1" s="121" t="s">
        <v>129</v>
      </c>
      <c r="C1" s="127"/>
      <c r="D1" s="127"/>
      <c r="E1" s="127"/>
      <c r="F1" s="127"/>
      <c r="G1" s="127"/>
      <c r="H1" s="127"/>
      <c r="I1" s="127"/>
    </row>
    <row r="2" spans="1:9" ht="25.5" customHeight="1">
      <c r="A2" s="95" t="s">
        <v>130</v>
      </c>
      <c r="B2" s="95" t="s">
        <v>131</v>
      </c>
      <c r="C2" s="95" t="s">
        <v>132</v>
      </c>
      <c r="D2" s="95" t="s">
        <v>133</v>
      </c>
      <c r="E2" s="95" t="s">
        <v>134</v>
      </c>
      <c r="F2" s="95" t="s">
        <v>135</v>
      </c>
      <c r="G2" s="95" t="s">
        <v>136</v>
      </c>
      <c r="H2" s="95" t="s">
        <v>137</v>
      </c>
      <c r="I2" s="95" t="s">
        <v>138</v>
      </c>
    </row>
    <row r="3" spans="1:9" ht="25.5">
      <c r="A3" s="96" t="s">
        <v>139</v>
      </c>
      <c r="B3" s="3" t="s">
        <v>140</v>
      </c>
      <c r="C3" s="3" t="s">
        <v>141</v>
      </c>
      <c r="D3" s="3" t="s">
        <v>142</v>
      </c>
      <c r="E3" s="3" t="s">
        <v>143</v>
      </c>
      <c r="F3" s="3" t="s">
        <v>144</v>
      </c>
      <c r="G3" s="3" t="s">
        <v>145</v>
      </c>
      <c r="H3" s="97" t="s">
        <v>146</v>
      </c>
      <c r="I3" s="3" t="s">
        <v>147</v>
      </c>
    </row>
    <row r="4" spans="1:9" ht="76.5">
      <c r="A4" s="105" t="s">
        <v>148</v>
      </c>
      <c r="B4" s="3" t="s">
        <v>140</v>
      </c>
      <c r="C4" s="3" t="s">
        <v>149</v>
      </c>
      <c r="D4" s="3" t="s">
        <v>150</v>
      </c>
      <c r="E4" s="3" t="s">
        <v>151</v>
      </c>
      <c r="F4" s="3" t="s">
        <v>144</v>
      </c>
      <c r="G4" s="3" t="s">
        <v>152</v>
      </c>
      <c r="H4" s="97" t="s">
        <v>153</v>
      </c>
      <c r="I4" s="3" t="s">
        <v>154</v>
      </c>
    </row>
    <row r="5" spans="1:9" ht="38.25">
      <c r="A5" s="105" t="s">
        <v>155</v>
      </c>
      <c r="B5" s="3" t="s">
        <v>156</v>
      </c>
      <c r="C5" s="3" t="s">
        <v>157</v>
      </c>
      <c r="D5" s="3" t="s">
        <v>158</v>
      </c>
      <c r="E5" s="3" t="s">
        <v>159</v>
      </c>
      <c r="F5" s="3" t="s">
        <v>144</v>
      </c>
      <c r="G5" s="3" t="s">
        <v>160</v>
      </c>
      <c r="H5" s="98"/>
      <c r="I5" s="3" t="s">
        <v>161</v>
      </c>
    </row>
    <row r="6" spans="1:9" ht="38.25">
      <c r="A6" s="105" t="s">
        <v>162</v>
      </c>
      <c r="B6" s="3" t="s">
        <v>156</v>
      </c>
      <c r="C6" s="3" t="s">
        <v>157</v>
      </c>
      <c r="D6" s="3" t="s">
        <v>163</v>
      </c>
      <c r="E6" s="98" t="s">
        <v>164</v>
      </c>
      <c r="F6" s="3" t="s">
        <v>165</v>
      </c>
      <c r="G6" s="3" t="s">
        <v>166</v>
      </c>
      <c r="H6" s="97" t="s">
        <v>167</v>
      </c>
      <c r="I6" s="3"/>
    </row>
    <row r="7" spans="1:9" ht="38.25">
      <c r="A7" s="105" t="s">
        <v>168</v>
      </c>
      <c r="B7" s="3" t="s">
        <v>156</v>
      </c>
      <c r="C7" s="3" t="s">
        <v>157</v>
      </c>
      <c r="D7" s="3" t="s">
        <v>163</v>
      </c>
      <c r="E7" s="98" t="s">
        <v>169</v>
      </c>
      <c r="F7" s="3" t="s">
        <v>165</v>
      </c>
      <c r="G7" s="3" t="s">
        <v>170</v>
      </c>
      <c r="H7" s="97" t="s">
        <v>171</v>
      </c>
      <c r="I7" s="3"/>
    </row>
    <row r="8" spans="1:9" ht="51">
      <c r="A8" s="105" t="s">
        <v>172</v>
      </c>
      <c r="B8" s="3" t="s">
        <v>173</v>
      </c>
      <c r="C8" s="3" t="s">
        <v>157</v>
      </c>
      <c r="D8" s="3" t="s">
        <v>174</v>
      </c>
      <c r="E8" s="3" t="s">
        <v>175</v>
      </c>
      <c r="F8" s="3" t="s">
        <v>176</v>
      </c>
      <c r="G8" s="3" t="s">
        <v>177</v>
      </c>
      <c r="H8" s="97" t="s">
        <v>178</v>
      </c>
      <c r="I8" s="3" t="s">
        <v>179</v>
      </c>
    </row>
    <row r="9" spans="1:9" ht="38.25">
      <c r="A9" s="105" t="s">
        <v>172</v>
      </c>
      <c r="B9" s="3" t="s">
        <v>180</v>
      </c>
      <c r="C9" s="3" t="s">
        <v>141</v>
      </c>
      <c r="D9" s="3" t="s">
        <v>174</v>
      </c>
      <c r="E9" s="3" t="s">
        <v>181</v>
      </c>
      <c r="F9" s="3" t="s">
        <v>144</v>
      </c>
      <c r="G9" s="3" t="s">
        <v>182</v>
      </c>
      <c r="H9" s="97" t="s">
        <v>183</v>
      </c>
      <c r="I9" s="3"/>
    </row>
    <row r="10" spans="1:9" ht="51">
      <c r="A10" s="105" t="s">
        <v>172</v>
      </c>
      <c r="B10" s="3" t="s">
        <v>184</v>
      </c>
      <c r="C10" s="3" t="s">
        <v>149</v>
      </c>
      <c r="D10" s="3" t="s">
        <v>174</v>
      </c>
      <c r="E10" s="3" t="s">
        <v>185</v>
      </c>
      <c r="F10" s="3" t="s">
        <v>176</v>
      </c>
      <c r="G10" s="3" t="s">
        <v>186</v>
      </c>
      <c r="H10" s="97" t="s">
        <v>178</v>
      </c>
      <c r="I10" s="3" t="s">
        <v>187</v>
      </c>
    </row>
    <row r="11" spans="1:9" ht="25.5">
      <c r="A11" s="105" t="s">
        <v>188</v>
      </c>
      <c r="B11" s="3" t="s">
        <v>189</v>
      </c>
      <c r="C11" s="3" t="s">
        <v>157</v>
      </c>
      <c r="D11" s="3" t="s">
        <v>142</v>
      </c>
      <c r="E11" s="3" t="s">
        <v>190</v>
      </c>
      <c r="F11" s="3" t="s">
        <v>144</v>
      </c>
      <c r="G11" s="3" t="s">
        <v>191</v>
      </c>
      <c r="H11" s="98"/>
      <c r="I11" s="3" t="s">
        <v>192</v>
      </c>
    </row>
    <row r="12" spans="1:9" ht="51">
      <c r="A12" s="105" t="s">
        <v>193</v>
      </c>
      <c r="B12" s="3" t="s">
        <v>189</v>
      </c>
      <c r="C12" s="3" t="s">
        <v>149</v>
      </c>
      <c r="D12" s="3" t="s">
        <v>142</v>
      </c>
      <c r="E12" s="3" t="s">
        <v>194</v>
      </c>
      <c r="F12" s="3" t="s">
        <v>195</v>
      </c>
      <c r="G12" s="3" t="s">
        <v>196</v>
      </c>
      <c r="H12" s="97" t="s">
        <v>197</v>
      </c>
      <c r="I12" s="99"/>
    </row>
    <row r="13" spans="1:9" ht="12.75">
      <c r="A13" s="12"/>
      <c r="B13" s="12"/>
      <c r="C13" s="12"/>
      <c r="D13" s="12"/>
      <c r="E13" s="12"/>
      <c r="F13" s="12"/>
      <c r="G13" s="12"/>
      <c r="H13" s="12"/>
      <c r="I13" s="12"/>
    </row>
    <row r="14" spans="1:9" ht="12.75">
      <c r="A14" s="12"/>
      <c r="B14" s="12"/>
      <c r="C14" s="12"/>
      <c r="D14" s="12"/>
      <c r="E14" s="12"/>
      <c r="F14" s="12"/>
      <c r="G14" s="12"/>
      <c r="H14" s="12"/>
      <c r="I14" s="12"/>
    </row>
    <row r="15" spans="1:9" ht="12.75">
      <c r="A15" s="12"/>
      <c r="B15" s="12"/>
      <c r="C15" s="12"/>
      <c r="D15" s="12"/>
      <c r="E15" s="12"/>
      <c r="F15" s="12"/>
      <c r="G15" s="12"/>
      <c r="H15" s="12"/>
      <c r="I15" s="12"/>
    </row>
    <row r="16" spans="1:9" ht="12.75">
      <c r="A16" s="12"/>
      <c r="B16" s="12"/>
      <c r="C16" s="12"/>
      <c r="D16" s="12"/>
      <c r="E16" s="12"/>
      <c r="F16" s="12"/>
      <c r="G16" s="12"/>
      <c r="H16" s="12"/>
      <c r="I16" s="12"/>
    </row>
    <row r="17" spans="1:9" ht="12.75">
      <c r="A17" s="12"/>
      <c r="B17" s="12"/>
      <c r="C17" s="12"/>
      <c r="D17" s="12"/>
      <c r="E17" s="12"/>
      <c r="F17" s="12"/>
      <c r="G17" s="12"/>
      <c r="H17" s="12"/>
      <c r="I17" s="12"/>
    </row>
    <row r="18" spans="1:9" ht="12.75">
      <c r="A18" s="12"/>
      <c r="B18" s="12"/>
      <c r="C18" s="12"/>
      <c r="D18" s="12"/>
      <c r="E18" s="12"/>
      <c r="F18" s="12"/>
      <c r="G18" s="12"/>
      <c r="H18" s="12"/>
      <c r="I18" s="12"/>
    </row>
    <row r="19" spans="1:9" ht="12.75">
      <c r="A19" s="12"/>
      <c r="B19" s="12"/>
      <c r="C19" s="12"/>
      <c r="D19" s="12"/>
      <c r="E19" s="12"/>
      <c r="F19" s="12"/>
      <c r="G19" s="12"/>
      <c r="H19" s="12"/>
      <c r="I19" s="12"/>
    </row>
    <row r="20" spans="1:9" ht="12.75">
      <c r="A20" s="12"/>
      <c r="B20" s="12"/>
      <c r="C20" s="12"/>
      <c r="D20" s="12"/>
      <c r="E20" s="12"/>
      <c r="F20" s="12"/>
      <c r="G20" s="12"/>
      <c r="H20" s="12"/>
      <c r="I20" s="12"/>
    </row>
    <row r="21" spans="1:9" ht="15">
      <c r="A21" s="100"/>
      <c r="B21" s="101"/>
      <c r="C21" s="102"/>
      <c r="D21" s="103"/>
      <c r="E21" s="103"/>
      <c r="F21" s="100"/>
      <c r="G21" s="102"/>
      <c r="H21" s="104"/>
      <c r="I21" s="104"/>
    </row>
    <row r="22" spans="1:9" ht="15">
      <c r="A22" s="100"/>
      <c r="B22" s="101"/>
      <c r="C22" s="102"/>
      <c r="D22" s="103"/>
      <c r="E22" s="103"/>
      <c r="F22" s="100"/>
      <c r="G22" s="102"/>
      <c r="H22" s="104"/>
      <c r="I22" s="104"/>
    </row>
    <row r="23" spans="1:9" ht="15">
      <c r="A23" s="100"/>
      <c r="B23" s="101"/>
      <c r="C23" s="102"/>
      <c r="D23" s="103"/>
      <c r="E23" s="103"/>
      <c r="F23" s="100"/>
      <c r="G23" s="102"/>
      <c r="H23" s="104"/>
      <c r="I23" s="104"/>
    </row>
    <row r="24" spans="1:9" ht="15">
      <c r="A24" s="100"/>
      <c r="B24" s="101"/>
      <c r="C24" s="102"/>
      <c r="D24" s="103"/>
      <c r="E24" s="103"/>
      <c r="F24" s="100"/>
      <c r="G24" s="102"/>
      <c r="H24" s="104"/>
      <c r="I24" s="104"/>
    </row>
    <row r="25" spans="1:9" ht="15">
      <c r="A25" s="100"/>
      <c r="B25" s="101"/>
      <c r="C25" s="102"/>
      <c r="D25" s="103"/>
      <c r="E25" s="103"/>
      <c r="F25" s="100"/>
      <c r="G25" s="102"/>
      <c r="H25" s="104"/>
      <c r="I25" s="104"/>
    </row>
    <row r="26" spans="1:9" ht="15">
      <c r="A26" s="100"/>
      <c r="B26" s="101"/>
      <c r="C26" s="102"/>
      <c r="D26" s="103"/>
      <c r="E26" s="103"/>
      <c r="F26" s="100"/>
      <c r="G26" s="102"/>
      <c r="H26" s="104"/>
      <c r="I26" s="104"/>
    </row>
    <row r="27" spans="1:9" ht="15">
      <c r="A27" s="100"/>
      <c r="B27" s="101"/>
      <c r="C27" s="102"/>
      <c r="D27" s="103"/>
      <c r="E27" s="103"/>
      <c r="F27" s="100"/>
      <c r="G27" s="102"/>
      <c r="H27" s="104"/>
      <c r="I27" s="104"/>
    </row>
    <row r="28" spans="1:9" ht="15">
      <c r="A28" s="100"/>
      <c r="B28" s="101"/>
      <c r="C28" s="102"/>
      <c r="D28" s="103"/>
      <c r="E28" s="103"/>
      <c r="F28" s="100"/>
      <c r="G28" s="102"/>
      <c r="H28" s="104"/>
      <c r="I28" s="104"/>
    </row>
    <row r="29" spans="1:9" ht="15">
      <c r="A29" s="100"/>
      <c r="B29" s="101"/>
      <c r="C29" s="102"/>
      <c r="D29" s="103"/>
      <c r="E29" s="103"/>
      <c r="F29" s="100"/>
      <c r="G29" s="102"/>
      <c r="H29" s="104"/>
      <c r="I29" s="104"/>
    </row>
    <row r="30" spans="1:9" ht="15">
      <c r="A30" s="100"/>
      <c r="B30" s="101"/>
      <c r="C30" s="102"/>
      <c r="D30" s="103"/>
      <c r="E30" s="103"/>
      <c r="F30" s="100"/>
      <c r="G30" s="102"/>
      <c r="H30" s="104"/>
      <c r="I30" s="104"/>
    </row>
    <row r="31" spans="1:9" ht="15">
      <c r="A31" s="100"/>
      <c r="B31" s="101"/>
      <c r="C31" s="102"/>
      <c r="D31" s="103"/>
      <c r="E31" s="103"/>
      <c r="F31" s="100"/>
      <c r="G31" s="102"/>
      <c r="H31" s="104"/>
      <c r="I31" s="104"/>
    </row>
    <row r="32" spans="1:9" ht="15">
      <c r="A32" s="100"/>
      <c r="B32" s="101"/>
      <c r="C32" s="102"/>
      <c r="D32" s="103"/>
      <c r="E32" s="103"/>
      <c r="F32" s="100"/>
      <c r="G32" s="102"/>
      <c r="H32" s="104"/>
      <c r="I32" s="104"/>
    </row>
    <row r="33" spans="1:9" ht="15">
      <c r="A33" s="100"/>
      <c r="B33" s="101"/>
      <c r="C33" s="102"/>
      <c r="D33" s="103"/>
      <c r="E33" s="103"/>
      <c r="F33" s="100"/>
      <c r="G33" s="102"/>
      <c r="H33" s="104"/>
      <c r="I33" s="104"/>
    </row>
    <row r="34" spans="1:9" ht="15">
      <c r="A34" s="100"/>
      <c r="B34" s="101"/>
      <c r="C34" s="102"/>
      <c r="D34" s="103"/>
      <c r="E34" s="103"/>
      <c r="F34" s="100"/>
      <c r="G34" s="102"/>
      <c r="H34" s="104"/>
      <c r="I34" s="104"/>
    </row>
    <row r="35" spans="1:9" ht="15">
      <c r="A35" s="100"/>
      <c r="B35" s="101"/>
      <c r="C35" s="102"/>
      <c r="D35" s="103"/>
      <c r="E35" s="103"/>
      <c r="F35" s="100"/>
      <c r="G35" s="102"/>
      <c r="H35" s="104"/>
      <c r="I35" s="104"/>
    </row>
  </sheetData>
  <mergeCells count="1">
    <mergeCell ref="B1:I1"/>
  </mergeCells>
  <conditionalFormatting sqref="A3:A12">
    <cfRule type="notContainsBlanks" dxfId="0" priority="1">
      <formula>LEN(TRIM(A3))&gt;0</formula>
    </cfRule>
  </conditionalFormatting>
  <dataValidations count="4">
    <dataValidation type="list" allowBlank="1" sqref="B3:B12" xr:uid="{00000000-0002-0000-0300-000000000000}">
      <formula1>"Planning Meeting,Planning Check-In,Training,Informational Update,Status Update,Survey"</formula1>
    </dataValidation>
    <dataValidation type="list" allowBlank="1" sqref="D3:D12" xr:uid="{00000000-0002-0000-0300-000001000000}">
      <formula1>"Project Manager,Core Team: HR Specialist,Core Team: Administrative Coordinator,Core Team: Training Manager,Core Team: HR Specialist &amp; Training Manager"</formula1>
    </dataValidation>
    <dataValidation type="list" allowBlank="1" sqref="C3:C12" xr:uid="{00000000-0002-0000-0300-000002000000}">
      <formula1>"Daily,Weekly,One time"</formula1>
    </dataValidation>
    <dataValidation type="list" allowBlank="1" sqref="F3:F12" xr:uid="{00000000-0002-0000-0300-000003000000}">
      <formula1>"In Person,Phone Call,Email (from individual address),Email (from company address)"</formula1>
    </dataValidation>
  </dataValidation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5A4837E0DA69342BAD85ACB970EEFA5" ma:contentTypeVersion="13" ma:contentTypeDescription="Crear nuevo documento." ma:contentTypeScope="" ma:versionID="55150a22e0987a505a1ea95a5093f991">
  <xsd:schema xmlns:xsd="http://www.w3.org/2001/XMLSchema" xmlns:xs="http://www.w3.org/2001/XMLSchema" xmlns:p="http://schemas.microsoft.com/office/2006/metadata/properties" xmlns:ns2="678b2ff6-0986-49fa-b210-ff5264ae4a30" xmlns:ns3="8826620b-8bab-493e-9d1c-6774f5fe946b" targetNamespace="http://schemas.microsoft.com/office/2006/metadata/properties" ma:root="true" ma:fieldsID="5dd080c009da857bf86c7147066c0949" ns2:_="" ns3:_="">
    <xsd:import namespace="678b2ff6-0986-49fa-b210-ff5264ae4a30"/>
    <xsd:import namespace="8826620b-8bab-493e-9d1c-6774f5fe94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8b2ff6-0986-49fa-b210-ff5264ae4a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0f30609-8120-4401-9a5b-a7806ab7050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26620b-8bab-493e-9d1c-6774f5fe946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61e545f5-ae54-4ac8-b231-4a1f7f406bbc}" ma:internalName="TaxCatchAll" ma:showField="CatchAllData" ma:web="8826620b-8bab-493e-9d1c-6774f5fe94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826620b-8bab-493e-9d1c-6774f5fe946b" xsi:nil="true"/>
    <lcf76f155ced4ddcb4097134ff3c332f xmlns="678b2ff6-0986-49fa-b210-ff5264ae4a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338D464-F6BA-45DA-9EDB-48504234E049}"/>
</file>

<file path=customXml/itemProps2.xml><?xml version="1.0" encoding="utf-8"?>
<ds:datastoreItem xmlns:ds="http://schemas.openxmlformats.org/officeDocument/2006/customXml" ds:itemID="{3B192A5A-E0D2-4984-9B5B-A99C53C8F2BC}"/>
</file>

<file path=customXml/itemProps3.xml><?xml version="1.0" encoding="utf-8"?>
<ds:datastoreItem xmlns:ds="http://schemas.openxmlformats.org/officeDocument/2006/customXml" ds:itemID="{93915C73-8D82-466D-B80F-B3A9E10BE79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Laura Veneskey</dc:creator>
  <cp:keywords/>
  <dc:description/>
  <cp:lastModifiedBy>Magali Cazella Mendez</cp:lastModifiedBy>
  <cp:revision/>
  <dcterms:created xsi:type="dcterms:W3CDTF">2021-08-02T01:03:06Z</dcterms:created>
  <dcterms:modified xsi:type="dcterms:W3CDTF">2024-12-18T14:12:53Z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0x01010045A4837E0DA69342BAD85ACB970EEFA5</vt:lpwstr>
  </property>
  <property fmtid="{D5CDD505-2E9C-101B-9397-08002B2CF9AE}" pid="3" name="MediaServiceImageTags">
    <vt:lpwstr/>
  </property>
</Properties>
</file>